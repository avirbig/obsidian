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3_ncr:1_{F193FFC3-6904-40B6-8BE9-BF0261721013}" xr6:coauthVersionLast="34" xr6:coauthVersionMax="34" xr10:uidLastSave="{00000000-0000-0000-0000-000000000000}"/>
  <bookViews>
    <workbookView xWindow="0" yWindow="0" windowWidth="22260" windowHeight="12645" tabRatio="697" activeTab="4" xr2:uid="{00000000-000D-0000-FFFF-FFFF00000000}"/>
  </bookViews>
  <sheets>
    <sheet name="Indicative Elements" sheetId="4" r:id="rId1"/>
    <sheet name="General Info" sheetId="7" r:id="rId2"/>
    <sheet name="Schechter et al 2016" sheetId="5" r:id="rId3"/>
    <sheet name="Milic 2014" sheetId="1" r:id="rId4"/>
    <sheet name="Morgan 2015" sheetId="6" r:id="rId5"/>
    <sheet name="Frahm 2013" sheetId="3" r:id="rId6"/>
    <sheet name="Khalidi Gratuze Boucetta 2009" sheetId="8" r:id="rId7"/>
    <sheet name="Frahm and Hauck 2017-Gollu Dag" sheetId="9" r:id="rId8"/>
    <sheet name="Campbell and Healey 2016" sheetId="10" r:id="rId9"/>
  </sheets>
  <definedNames>
    <definedName name="_xlnm._FilterDatabase" localSheetId="3" hidden="1">'Milic 2014'!$A$1:$A$42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2" i="5" l="1"/>
  <c r="D62" i="5"/>
  <c r="D63" i="5" s="1"/>
  <c r="E62" i="5"/>
  <c r="F62" i="5"/>
  <c r="F63" i="5" s="1"/>
  <c r="G62" i="5"/>
  <c r="H62" i="5"/>
  <c r="H63" i="5" s="1"/>
  <c r="I62" i="5"/>
  <c r="J62" i="5"/>
  <c r="J63" i="5" s="1"/>
  <c r="K62" i="5"/>
  <c r="C63" i="5"/>
  <c r="E63" i="5"/>
  <c r="G63" i="5"/>
  <c r="I63" i="5"/>
  <c r="K63" i="5"/>
  <c r="C64" i="5"/>
  <c r="D64" i="5"/>
  <c r="E64" i="5"/>
  <c r="F64" i="5"/>
  <c r="G64" i="5"/>
  <c r="H64" i="5"/>
  <c r="I64" i="5"/>
  <c r="J64" i="5"/>
  <c r="K64" i="5"/>
  <c r="B64" i="5"/>
  <c r="B62" i="5"/>
  <c r="B63" i="5" s="1"/>
  <c r="C106" i="5"/>
  <c r="D106" i="5"/>
  <c r="D107" i="5" s="1"/>
  <c r="E106" i="5"/>
  <c r="F106" i="5"/>
  <c r="F107" i="5" s="1"/>
  <c r="G106" i="5"/>
  <c r="H106" i="5"/>
  <c r="H107" i="5" s="1"/>
  <c r="I106" i="5"/>
  <c r="J106" i="5"/>
  <c r="J107" i="5" s="1"/>
  <c r="K106" i="5"/>
  <c r="C107" i="5"/>
  <c r="E107" i="5"/>
  <c r="G107" i="5"/>
  <c r="I107" i="5"/>
  <c r="K107" i="5"/>
  <c r="C108" i="5"/>
  <c r="D108" i="5"/>
  <c r="E108" i="5"/>
  <c r="F108" i="5"/>
  <c r="G108" i="5"/>
  <c r="H108" i="5"/>
  <c r="I108" i="5"/>
  <c r="J108" i="5"/>
  <c r="K108" i="5"/>
  <c r="B108" i="5"/>
  <c r="B106" i="5"/>
  <c r="B107" i="5" s="1"/>
  <c r="C85" i="5"/>
  <c r="D85" i="5"/>
  <c r="E85" i="5"/>
  <c r="F85" i="5"/>
  <c r="G85" i="5"/>
  <c r="H85" i="5"/>
  <c r="I85" i="5"/>
  <c r="J85" i="5"/>
  <c r="K85" i="5"/>
  <c r="B85" i="5"/>
  <c r="C83" i="5"/>
  <c r="C84" i="5" s="1"/>
  <c r="D83" i="5"/>
  <c r="D84" i="5" s="1"/>
  <c r="E83" i="5"/>
  <c r="E84" i="5" s="1"/>
  <c r="F83" i="5"/>
  <c r="F84" i="5" s="1"/>
  <c r="G83" i="5"/>
  <c r="G84" i="5" s="1"/>
  <c r="H83" i="5"/>
  <c r="H84" i="5" s="1"/>
  <c r="I83" i="5"/>
  <c r="I84" i="5" s="1"/>
  <c r="J83" i="5"/>
  <c r="J84" i="5" s="1"/>
  <c r="K83" i="5"/>
  <c r="K84" i="5" s="1"/>
  <c r="B83" i="5"/>
  <c r="B84" i="5" s="1"/>
</calcChain>
</file>

<file path=xl/sharedStrings.xml><?xml version="1.0" encoding="utf-8"?>
<sst xmlns="http://schemas.openxmlformats.org/spreadsheetml/2006/main" count="663" uniqueCount="272">
  <si>
    <t>Method</t>
  </si>
  <si>
    <t>Indicative Elements</t>
  </si>
  <si>
    <t>units</t>
  </si>
  <si>
    <t>population</t>
  </si>
  <si>
    <t>geo sources</t>
  </si>
  <si>
    <t>paper</t>
  </si>
  <si>
    <t>arc. Site</t>
  </si>
  <si>
    <t>period</t>
  </si>
  <si>
    <t>Milic 2014</t>
  </si>
  <si>
    <t>pxrf</t>
  </si>
  <si>
    <t>ppm</t>
  </si>
  <si>
    <t>Rb/Sr/Zr Ti/Fe</t>
  </si>
  <si>
    <t xml:space="preserve">Göllü Dag </t>
  </si>
  <si>
    <t>Melos Adamas</t>
  </si>
  <si>
    <t>MelosDemenegaki</t>
  </si>
  <si>
    <t>Gialie</t>
  </si>
  <si>
    <t>Antiparos</t>
  </si>
  <si>
    <t>Carpathian 1</t>
  </si>
  <si>
    <t>Carpathian 2</t>
  </si>
  <si>
    <t>Zr</t>
  </si>
  <si>
    <t>Ti</t>
  </si>
  <si>
    <t>Fe</t>
  </si>
  <si>
    <t>Mn</t>
  </si>
  <si>
    <t>Zn</t>
  </si>
  <si>
    <t>Pb</t>
  </si>
  <si>
    <t>Sr</t>
  </si>
  <si>
    <t>Nenezi Dag</t>
  </si>
  <si>
    <t>Source</t>
  </si>
  <si>
    <t>Rb</t>
  </si>
  <si>
    <t>Giali</t>
  </si>
  <si>
    <t>Melos-Adamas</t>
  </si>
  <si>
    <t>Melos-Demenegaki</t>
  </si>
  <si>
    <t>Carpathian-1</t>
  </si>
  <si>
    <t>Carpathian-2</t>
  </si>
  <si>
    <t>Nenezi-Dag</t>
  </si>
  <si>
    <t>Cambell and Healey 2016</t>
  </si>
  <si>
    <t>Indicative Ratios</t>
  </si>
  <si>
    <t>Sr Zr Fe Mn Pb</t>
  </si>
  <si>
    <t>Sr/Zr  Fe/(Rb/Zr)/(Fe/Mn)  Rb/Pb</t>
  </si>
  <si>
    <t>Frahm 2013</t>
  </si>
  <si>
    <t xml:space="preserve">Rb/Sr/Zr  Zn/Sr/Zr </t>
  </si>
  <si>
    <t>Sr Zr Zn Rb</t>
  </si>
  <si>
    <t>Tell Mozan</t>
  </si>
  <si>
    <t>reference</t>
  </si>
  <si>
    <t>Campbell and Healey 2016</t>
  </si>
  <si>
    <t>Craig et al 2007</t>
  </si>
  <si>
    <t>P.J. Sheppard et al. 2011</t>
  </si>
  <si>
    <t>Moholy-Nagy et al. 2013</t>
  </si>
  <si>
    <t>Nazaroff et al. 2010</t>
  </si>
  <si>
    <t>Schechter et al 2016</t>
  </si>
  <si>
    <t>Delerou</t>
  </si>
  <si>
    <t>Sn</t>
  </si>
  <si>
    <t>pXRF</t>
  </si>
  <si>
    <t>XRF, pXRF</t>
  </si>
  <si>
    <t>NAA</t>
  </si>
  <si>
    <t>MEB-EDS</t>
  </si>
  <si>
    <t>+</t>
  </si>
  <si>
    <t>Dy</t>
  </si>
  <si>
    <t>Nb</t>
  </si>
  <si>
    <t>Y</t>
  </si>
  <si>
    <t>CaO</t>
  </si>
  <si>
    <r>
      <t>Fe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</t>
    </r>
    <r>
      <rPr>
        <b/>
        <vertAlign val="subscript"/>
        <sz val="11"/>
        <color theme="1"/>
        <rFont val="Calibri"/>
        <family val="2"/>
      </rPr>
      <t>3</t>
    </r>
  </si>
  <si>
    <r>
      <t>Al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</t>
    </r>
    <r>
      <rPr>
        <b/>
        <vertAlign val="sub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 xml:space="preserve"> </t>
    </r>
  </si>
  <si>
    <t xml:space="preserve">Source </t>
  </si>
  <si>
    <t xml:space="preserve">Rb (ppm) </t>
  </si>
  <si>
    <t xml:space="preserve">Sr (ppm) </t>
  </si>
  <si>
    <t>Zr (ppm)</t>
  </si>
  <si>
    <t xml:space="preserve">166-194 </t>
  </si>
  <si>
    <t>69-76</t>
  </si>
  <si>
    <t xml:space="preserve">Mean </t>
  </si>
  <si>
    <t xml:space="preserve">Nenezi Dag </t>
  </si>
  <si>
    <t xml:space="preserve">143-158 </t>
  </si>
  <si>
    <t xml:space="preserve">97-100 </t>
  </si>
  <si>
    <t>132-137</t>
  </si>
  <si>
    <t xml:space="preserve">Melos Adamas </t>
  </si>
  <si>
    <t xml:space="preserve">103-112 </t>
  </si>
  <si>
    <t xml:space="preserve">93-107 </t>
  </si>
  <si>
    <t>102-111</t>
  </si>
  <si>
    <t xml:space="preserve">Melos Demenegaki </t>
  </si>
  <si>
    <t xml:space="preserve">91-103 </t>
  </si>
  <si>
    <t xml:space="preserve">105-114 </t>
  </si>
  <si>
    <t>108-121</t>
  </si>
  <si>
    <t xml:space="preserve">Antiparos </t>
  </si>
  <si>
    <t xml:space="preserve">Giali </t>
  </si>
  <si>
    <t xml:space="preserve">118-124 </t>
  </si>
  <si>
    <t xml:space="preserve">60-66 </t>
  </si>
  <si>
    <t>94-97</t>
  </si>
  <si>
    <t xml:space="preserve">Carpathian 1 </t>
  </si>
  <si>
    <t xml:space="preserve">154-173 </t>
  </si>
  <si>
    <t xml:space="preserve">64-77 </t>
  </si>
  <si>
    <t>62-74</t>
  </si>
  <si>
    <t xml:space="preserve">Carpathian 2 </t>
  </si>
  <si>
    <t xml:space="preserve">164-185 </t>
  </si>
  <si>
    <t xml:space="preserve">71-76 </t>
  </si>
  <si>
    <t>118-140</t>
  </si>
  <si>
    <t>8.0-16.0</t>
  </si>
  <si>
    <t>MnKa1</t>
  </si>
  <si>
    <t>FeKa1</t>
  </si>
  <si>
    <t>ZnKa1</t>
  </si>
  <si>
    <t>GaKa1</t>
  </si>
  <si>
    <t>ThLa1</t>
  </si>
  <si>
    <t>RbKa1</t>
  </si>
  <si>
    <t>SrKa1</t>
  </si>
  <si>
    <t>ZrKa1</t>
  </si>
  <si>
    <t>NbKa1</t>
  </si>
  <si>
    <t>YKa1</t>
  </si>
  <si>
    <t>Göllü Dağ</t>
  </si>
  <si>
    <t>Bingöl A</t>
  </si>
  <si>
    <t>Bingöl B</t>
  </si>
  <si>
    <t>ID #</t>
  </si>
  <si>
    <t>EZPR 10585.1</t>
  </si>
  <si>
    <t>EZPR 10585.2</t>
  </si>
  <si>
    <t>EZPR 13451</t>
  </si>
  <si>
    <t>EZPR 14426</t>
  </si>
  <si>
    <t>EZPR 14445</t>
  </si>
  <si>
    <t>EZPR 14486</t>
  </si>
  <si>
    <t>EZPR 14759</t>
  </si>
  <si>
    <t>EZPR 14948.1</t>
  </si>
  <si>
    <t>EZPR 14948.2</t>
  </si>
  <si>
    <t>EZPR 14948.3</t>
  </si>
  <si>
    <t>EZPR 14954</t>
  </si>
  <si>
    <t>EZPR 14963</t>
  </si>
  <si>
    <t>EZPR 14987</t>
  </si>
  <si>
    <t>EZPR 15031</t>
  </si>
  <si>
    <t>EZPR 15047</t>
  </si>
  <si>
    <t>EZPR 17756</t>
  </si>
  <si>
    <t>EZPR 17905</t>
  </si>
  <si>
    <t>EZPR 17912</t>
  </si>
  <si>
    <t>EZPR 17913</t>
  </si>
  <si>
    <t>EZPR 20100</t>
  </si>
  <si>
    <t>EZPR 20206</t>
  </si>
  <si>
    <t>EZPR 30748.1</t>
  </si>
  <si>
    <t>EZPR 30748.2</t>
  </si>
  <si>
    <t>EZPR 30823</t>
  </si>
  <si>
    <t>EZPR 31263</t>
  </si>
  <si>
    <t>EZPR 31313</t>
  </si>
  <si>
    <t>EZPR 50091</t>
  </si>
  <si>
    <t>EZPR 50279</t>
  </si>
  <si>
    <t>EZPR 50418</t>
  </si>
  <si>
    <t>EZPR 55085</t>
  </si>
  <si>
    <t>EZPR 60201</t>
  </si>
  <si>
    <t>EZPR 60232</t>
  </si>
  <si>
    <t>EZPR 60243</t>
  </si>
  <si>
    <t>EZPR 60346</t>
  </si>
  <si>
    <t>EZPR 60353</t>
  </si>
  <si>
    <t>EZPR 77046</t>
  </si>
  <si>
    <t>EZPR 77050</t>
  </si>
  <si>
    <t>EZPR 77065</t>
  </si>
  <si>
    <t>EZPR 77071.1</t>
  </si>
  <si>
    <t>EZPR 77071.2</t>
  </si>
  <si>
    <t>EZPR 90045</t>
  </si>
  <si>
    <t>EZPR 90052</t>
  </si>
  <si>
    <t>EZPR 90121</t>
  </si>
  <si>
    <t>EZPR 90211</t>
  </si>
  <si>
    <t>AVG</t>
  </si>
  <si>
    <t>MAX</t>
  </si>
  <si>
    <t>MIN</t>
  </si>
  <si>
    <t>STD DV</t>
  </si>
  <si>
    <t>Morgan 2015</t>
  </si>
  <si>
    <t>Rb, Zr, Ti, Fe</t>
  </si>
  <si>
    <t>Rb/Sr/(Ti/Fe)</t>
  </si>
  <si>
    <t>EBI-EBII</t>
  </si>
  <si>
    <t xml:space="preserve">Cycladic obsidian </t>
  </si>
  <si>
    <t>Sta Nychia</t>
  </si>
  <si>
    <t>Dhemenegaki</t>
  </si>
  <si>
    <t xml:space="preserve">Ba </t>
  </si>
  <si>
    <t xml:space="preserve">Ti </t>
  </si>
  <si>
    <t xml:space="preserve">Mn </t>
  </si>
  <si>
    <t xml:space="preserve">Fe </t>
  </si>
  <si>
    <t xml:space="preserve">Co </t>
  </si>
  <si>
    <t xml:space="preserve">Ni </t>
  </si>
  <si>
    <t xml:space="preserve">Cu </t>
  </si>
  <si>
    <t xml:space="preserve">Zn </t>
  </si>
  <si>
    <t xml:space="preserve">Ga </t>
  </si>
  <si>
    <t xml:space="preserve">Pb </t>
  </si>
  <si>
    <t xml:space="preserve">Th </t>
  </si>
  <si>
    <t xml:space="preserve">Rb </t>
  </si>
  <si>
    <t xml:space="preserve">Sr </t>
  </si>
  <si>
    <t xml:space="preserve">Y </t>
  </si>
  <si>
    <t xml:space="preserve">Zr </t>
  </si>
  <si>
    <t>Rb,Sr,Zr,Ti,Fe</t>
  </si>
  <si>
    <t>Nb, Sr, Rb, Y, Sr, Zr</t>
  </si>
  <si>
    <t>Nb/Sr, Rb/Y, Sr/Zr</t>
  </si>
  <si>
    <t>Ein Zippori</t>
  </si>
  <si>
    <t>EPN</t>
  </si>
  <si>
    <t>LPN</t>
  </si>
  <si>
    <t>EBA I</t>
  </si>
  <si>
    <t>EBA II</t>
  </si>
  <si>
    <t>Basalt_Glass_Standard_#1</t>
  </si>
  <si>
    <t>Basalt_Glass_Standard_#2</t>
  </si>
  <si>
    <t>Point</t>
  </si>
  <si>
    <t>Error</t>
  </si>
  <si>
    <t>Mean</t>
  </si>
  <si>
    <t>S_Dev</t>
  </si>
  <si>
    <t>%RSD</t>
  </si>
  <si>
    <t>&lt;LOD</t>
  </si>
  <si>
    <t>e</t>
  </si>
  <si>
    <t>St_Dev</t>
  </si>
  <si>
    <t>Obsidian_specimens_from_collection_area_CA05</t>
  </si>
  <si>
    <t>Obsidian_specimens_from_collection_area_CA06</t>
  </si>
  <si>
    <t>Obsidian_specimens_from_collection_area_EA30</t>
  </si>
  <si>
    <t>Obsidian_specimens_from_collection_area_EA36</t>
  </si>
  <si>
    <t>Specimen</t>
  </si>
  <si>
    <t>Nemrut Dağ</t>
  </si>
  <si>
    <t>Nemrut/Bingöl A</t>
  </si>
  <si>
    <t>Group 3d</t>
  </si>
  <si>
    <t>L. Khalidi, B. Gratuze and S. Boucetta 2009</t>
  </si>
  <si>
    <t>LA–ICP–MS</t>
  </si>
  <si>
    <t xml:space="preserve">Y/Zr </t>
  </si>
  <si>
    <t xml:space="preserve">(Y/Zr) / (Nb/Zr) </t>
  </si>
  <si>
    <t>Zr/Ba</t>
  </si>
  <si>
    <t>Y Zr Nb Ba</t>
  </si>
  <si>
    <t>Tell Brak</t>
  </si>
  <si>
    <t>Tell Hamoukar</t>
  </si>
  <si>
    <t>Meydan Dag</t>
  </si>
  <si>
    <t>unknown source</t>
  </si>
  <si>
    <t>Oxide</t>
  </si>
  <si>
    <t>Bingöl_B</t>
  </si>
  <si>
    <t>Meydan_Dag˘</t>
  </si>
  <si>
    <t>Li</t>
  </si>
  <si>
    <t>B</t>
  </si>
  <si>
    <t>Ca</t>
  </si>
  <si>
    <t>As</t>
  </si>
  <si>
    <t>Cs</t>
  </si>
  <si>
    <t>Ba</t>
  </si>
  <si>
    <t>La</t>
  </si>
  <si>
    <t>Ce</t>
  </si>
  <si>
    <t>Pr</t>
  </si>
  <si>
    <t>Nd</t>
  </si>
  <si>
    <t>Hf</t>
  </si>
  <si>
    <t>Ta</t>
  </si>
  <si>
    <t>Th</t>
  </si>
  <si>
    <t>U</t>
  </si>
  <si>
    <t>Bingöl_A</t>
  </si>
  <si>
    <t>Frahm and Hauck 2017</t>
  </si>
  <si>
    <t>Reference</t>
  </si>
  <si>
    <t>Technique</t>
  </si>
  <si>
    <t>WDXRF</t>
  </si>
  <si>
    <t>Yellin_1995</t>
  </si>
  <si>
    <t>Martinetto_1996</t>
  </si>
  <si>
    <t>ICP-AES/MS</t>
  </si>
  <si>
    <t>Oddone_et_al_1997</t>
  </si>
  <si>
    <t>Bellot-Gurlet_1998</t>
  </si>
  <si>
    <t>Gratuze_in_Poidevin_1998</t>
  </si>
  <si>
    <t>LA-ICP-MS</t>
  </si>
  <si>
    <t>EDXRF</t>
  </si>
  <si>
    <t>Frahm_2010</t>
  </si>
  <si>
    <t>"</t>
  </si>
  <si>
    <t>EMPA</t>
  </si>
  <si>
    <t>Poupeau_et_al_2010</t>
  </si>
  <si>
    <t>ICP-MS</t>
  </si>
  <si>
    <t>PIXE</t>
  </si>
  <si>
    <t>SEM-EDS</t>
  </si>
  <si>
    <t>Binder_et_al_2011</t>
  </si>
  <si>
    <t>Overall_mean_values</t>
  </si>
  <si>
    <t>This_study_pXRF</t>
  </si>
  <si>
    <t>Kelle_and_Seifried_1990</t>
  </si>
  <si>
    <t>Kobayashi_and_Mochizuki_2007</t>
  </si>
  <si>
    <t>Carter_and_Shackley_2007</t>
  </si>
  <si>
    <t>Khalidi Gratuze Boucetta 2009</t>
  </si>
  <si>
    <t>Al</t>
  </si>
  <si>
    <t>Si</t>
  </si>
  <si>
    <t>K</t>
  </si>
  <si>
    <t>Meydan Dağ</t>
  </si>
  <si>
    <t>Muş</t>
  </si>
  <si>
    <t>Nemrut Dağ/Bingöl A</t>
  </si>
  <si>
    <t>Pasinler</t>
  </si>
  <si>
    <t>Sarıkamış 1</t>
  </si>
  <si>
    <t>Sarıkamış 2</t>
  </si>
  <si>
    <t>Syunik</t>
  </si>
  <si>
    <t>Gollu Dag</t>
  </si>
  <si>
    <t>Brown
Rhyolite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</si>
</sst>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2" borderId="0" xfId="0" applyFill="1"/>
    <xf numFmtId="1" fontId="0" fillId="0" borderId="0" xfId="0" applyNumberFormat="1"/>
    <xf numFmtId="1" fontId="3" fillId="0" borderId="0" xfId="0" applyNumberFormat="1" applyFont="1"/>
    <xf numFmtId="0" fontId="4" fillId="4" borderId="0" xfId="0" applyFont="1" applyFill="1"/>
    <xf numFmtId="1" fontId="4" fillId="4" borderId="0" xfId="0" applyNumberFormat="1" applyFont="1" applyFill="1"/>
    <xf numFmtId="1" fontId="0" fillId="3" borderId="0" xfId="0" applyNumberFormat="1" applyFill="1"/>
    <xf numFmtId="0" fontId="3" fillId="3" borderId="0" xfId="0" applyFont="1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S11" sqref="S11"/>
    </sheetView>
  </sheetViews>
  <sheetFormatPr defaultRowHeight="15" x14ac:dyDescent="0.25"/>
  <cols>
    <col min="1" max="1" width="27.7109375" bestFit="1" customWidth="1"/>
    <col min="2" max="2" width="10.140625" bestFit="1" customWidth="1"/>
    <col min="3" max="3" width="3.28515625" bestFit="1" customWidth="1"/>
    <col min="4" max="4" width="2.42578125" bestFit="1" customWidth="1"/>
    <col min="5" max="5" width="2.7109375" bestFit="1" customWidth="1"/>
    <col min="6" max="6" width="3.140625" bestFit="1" customWidth="1"/>
    <col min="7" max="7" width="3" bestFit="1" customWidth="1"/>
    <col min="8" max="8" width="2.42578125" bestFit="1" customWidth="1"/>
    <col min="9" max="9" width="3.28515625" bestFit="1" customWidth="1"/>
    <col min="10" max="10" width="2.85546875" bestFit="1" customWidth="1"/>
    <col min="11" max="11" width="3.28515625" bestFit="1" customWidth="1"/>
    <col min="12" max="13" width="3.140625" bestFit="1" customWidth="1"/>
    <col min="14" max="14" width="2" bestFit="1" customWidth="1"/>
    <col min="15" max="15" width="5.28515625" bestFit="1" customWidth="1"/>
    <col min="16" max="16" width="5" bestFit="1" customWidth="1"/>
    <col min="17" max="17" width="4" bestFit="1" customWidth="1"/>
  </cols>
  <sheetData>
    <row r="1" spans="1:17" ht="18" x14ac:dyDescent="0.35">
      <c r="A1" s="2" t="s">
        <v>43</v>
      </c>
      <c r="B1" s="2" t="s">
        <v>0</v>
      </c>
      <c r="C1" s="2" t="s">
        <v>28</v>
      </c>
      <c r="D1" s="2" t="s">
        <v>19</v>
      </c>
      <c r="E1" s="2" t="s">
        <v>25</v>
      </c>
      <c r="F1" s="2" t="s">
        <v>51</v>
      </c>
      <c r="G1" s="2" t="s">
        <v>21</v>
      </c>
      <c r="H1" s="2" t="s">
        <v>20</v>
      </c>
      <c r="I1" s="2" t="s">
        <v>22</v>
      </c>
      <c r="J1" s="2" t="s">
        <v>23</v>
      </c>
      <c r="K1" s="2" t="s">
        <v>24</v>
      </c>
      <c r="L1" s="2" t="s">
        <v>57</v>
      </c>
      <c r="M1" s="2" t="s">
        <v>58</v>
      </c>
      <c r="N1" s="2" t="s">
        <v>59</v>
      </c>
      <c r="O1" s="2" t="s">
        <v>61</v>
      </c>
      <c r="P1" s="2" t="s">
        <v>62</v>
      </c>
      <c r="Q1" s="2" t="s">
        <v>60</v>
      </c>
    </row>
    <row r="2" spans="1:17" x14ac:dyDescent="0.25">
      <c r="A2" s="1" t="s">
        <v>8</v>
      </c>
      <c r="B2" t="s">
        <v>52</v>
      </c>
      <c r="C2" t="s">
        <v>56</v>
      </c>
      <c r="D2" t="s">
        <v>56</v>
      </c>
      <c r="E2" t="s">
        <v>56</v>
      </c>
      <c r="G2" t="s">
        <v>56</v>
      </c>
      <c r="H2" t="s">
        <v>56</v>
      </c>
    </row>
    <row r="3" spans="1:17" x14ac:dyDescent="0.25">
      <c r="A3" s="1" t="s">
        <v>44</v>
      </c>
      <c r="B3" t="s">
        <v>52</v>
      </c>
      <c r="C3" t="s">
        <v>56</v>
      </c>
      <c r="D3" t="s">
        <v>56</v>
      </c>
      <c r="E3" t="s">
        <v>56</v>
      </c>
      <c r="G3" t="s">
        <v>56</v>
      </c>
      <c r="I3" t="s">
        <v>56</v>
      </c>
      <c r="K3" t="s">
        <v>56</v>
      </c>
    </row>
    <row r="4" spans="1:17" x14ac:dyDescent="0.25">
      <c r="A4" s="1" t="s">
        <v>39</v>
      </c>
      <c r="B4" t="s">
        <v>52</v>
      </c>
      <c r="C4" t="s">
        <v>56</v>
      </c>
      <c r="D4" t="s">
        <v>56</v>
      </c>
      <c r="E4" t="s">
        <v>56</v>
      </c>
      <c r="J4" t="s">
        <v>56</v>
      </c>
    </row>
    <row r="5" spans="1:17" x14ac:dyDescent="0.25">
      <c r="A5" s="1" t="s">
        <v>45</v>
      </c>
      <c r="B5" t="s">
        <v>53</v>
      </c>
      <c r="C5" t="s">
        <v>56</v>
      </c>
      <c r="E5" t="s">
        <v>56</v>
      </c>
    </row>
    <row r="6" spans="1:17" x14ac:dyDescent="0.25">
      <c r="A6" s="1" t="s">
        <v>46</v>
      </c>
      <c r="B6" t="s">
        <v>52</v>
      </c>
      <c r="C6" t="s">
        <v>56</v>
      </c>
      <c r="D6" t="s">
        <v>56</v>
      </c>
    </row>
    <row r="7" spans="1:17" x14ac:dyDescent="0.25">
      <c r="A7" s="1" t="s">
        <v>47</v>
      </c>
      <c r="B7" t="s">
        <v>54</v>
      </c>
      <c r="C7" t="s">
        <v>56</v>
      </c>
      <c r="D7" t="s">
        <v>56</v>
      </c>
      <c r="G7" t="s">
        <v>56</v>
      </c>
      <c r="I7" t="s">
        <v>56</v>
      </c>
      <c r="L7" t="s">
        <v>56</v>
      </c>
    </row>
    <row r="8" spans="1:17" x14ac:dyDescent="0.25">
      <c r="A8" s="1" t="s">
        <v>48</v>
      </c>
      <c r="B8" t="s">
        <v>53</v>
      </c>
      <c r="C8" t="s">
        <v>56</v>
      </c>
      <c r="D8" t="s">
        <v>56</v>
      </c>
      <c r="E8" t="s">
        <v>56</v>
      </c>
    </row>
    <row r="9" spans="1:17" x14ac:dyDescent="0.25">
      <c r="A9" s="1" t="s">
        <v>49</v>
      </c>
      <c r="B9" t="s">
        <v>52</v>
      </c>
      <c r="C9" t="s">
        <v>56</v>
      </c>
      <c r="D9" t="s">
        <v>56</v>
      </c>
      <c r="E9" t="s">
        <v>56</v>
      </c>
      <c r="M9" t="s">
        <v>56</v>
      </c>
      <c r="N9" t="s">
        <v>56</v>
      </c>
    </row>
    <row r="10" spans="1:17" x14ac:dyDescent="0.25">
      <c r="A10" s="1" t="s">
        <v>50</v>
      </c>
      <c r="B10" t="s">
        <v>55</v>
      </c>
      <c r="O10" t="s">
        <v>56</v>
      </c>
      <c r="P10" t="s">
        <v>56</v>
      </c>
      <c r="Q10" t="s">
        <v>56</v>
      </c>
    </row>
    <row r="11" spans="1:17" x14ac:dyDescent="0.25">
      <c r="A11" s="1" t="s">
        <v>158</v>
      </c>
      <c r="B11" t="s">
        <v>52</v>
      </c>
      <c r="C11" t="s">
        <v>56</v>
      </c>
      <c r="E11" t="s">
        <v>56</v>
      </c>
      <c r="G11" t="s">
        <v>56</v>
      </c>
      <c r="H11" t="s">
        <v>56</v>
      </c>
    </row>
    <row r="12" spans="1:17" x14ac:dyDescent="0.25">
      <c r="A12" s="1" t="s">
        <v>234</v>
      </c>
      <c r="C12" t="s">
        <v>56</v>
      </c>
      <c r="D12" t="s">
        <v>56</v>
      </c>
      <c r="E12" t="s">
        <v>56</v>
      </c>
      <c r="H12" t="s">
        <v>56</v>
      </c>
      <c r="I12" t="s">
        <v>56</v>
      </c>
    </row>
    <row r="13" spans="1:17" x14ac:dyDescent="0.25">
      <c r="A13" s="1" t="s">
        <v>259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D9AA-9525-47F0-A7C9-F797FBEFCF62}">
  <dimension ref="A1:I29"/>
  <sheetViews>
    <sheetView workbookViewId="0">
      <selection activeCell="D9" sqref="D9"/>
    </sheetView>
  </sheetViews>
  <sheetFormatPr defaultColWidth="9" defaultRowHeight="15" x14ac:dyDescent="0.25"/>
  <cols>
    <col min="1" max="1" width="36.7109375" bestFit="1" customWidth="1"/>
    <col min="2" max="2" width="10.5703125" bestFit="1" customWidth="1"/>
    <col min="3" max="3" width="17.28515625" bestFit="1" customWidth="1"/>
    <col min="4" max="4" width="27.5703125" bestFit="1" customWidth="1"/>
    <col min="5" max="5" width="4.7109375" bestFit="1" customWidth="1"/>
    <col min="6" max="6" width="9.140625" bestFit="1" customWidth="1"/>
    <col min="7" max="7" width="16" bestFit="1" customWidth="1"/>
    <col min="8" max="8" width="15.7109375" bestFit="1" customWidth="1"/>
    <col min="9" max="9" width="7.5703125" bestFit="1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36</v>
      </c>
      <c r="E1" t="s">
        <v>2</v>
      </c>
      <c r="F1" t="s">
        <v>3</v>
      </c>
      <c r="G1" t="s">
        <v>4</v>
      </c>
      <c r="H1" t="s">
        <v>6</v>
      </c>
      <c r="I1" t="s">
        <v>7</v>
      </c>
    </row>
    <row r="2" spans="1:9" ht="14.25" customHeight="1" x14ac:dyDescent="0.25">
      <c r="A2" t="s">
        <v>8</v>
      </c>
      <c r="B2" t="s">
        <v>9</v>
      </c>
      <c r="C2" t="s">
        <v>180</v>
      </c>
      <c r="D2" t="s">
        <v>11</v>
      </c>
      <c r="E2" t="s">
        <v>10</v>
      </c>
      <c r="F2">
        <v>52</v>
      </c>
      <c r="G2" t="s">
        <v>12</v>
      </c>
    </row>
    <row r="3" spans="1:9" ht="14.25" customHeight="1" x14ac:dyDescent="0.25">
      <c r="G3" t="s">
        <v>26</v>
      </c>
    </row>
    <row r="4" spans="1:9" ht="14.25" customHeight="1" x14ac:dyDescent="0.25">
      <c r="G4" t="s">
        <v>13</v>
      </c>
    </row>
    <row r="5" spans="1:9" ht="14.25" customHeight="1" x14ac:dyDescent="0.25">
      <c r="G5" t="s">
        <v>14</v>
      </c>
    </row>
    <row r="6" spans="1:9" ht="14.25" customHeight="1" x14ac:dyDescent="0.25">
      <c r="G6" t="s">
        <v>15</v>
      </c>
    </row>
    <row r="7" spans="1:9" ht="14.25" customHeight="1" x14ac:dyDescent="0.25">
      <c r="G7" t="s">
        <v>16</v>
      </c>
    </row>
    <row r="8" spans="1:9" ht="14.25" customHeight="1" x14ac:dyDescent="0.25">
      <c r="G8" t="s">
        <v>17</v>
      </c>
    </row>
    <row r="9" spans="1:9" ht="14.25" customHeight="1" x14ac:dyDescent="0.25">
      <c r="G9" t="s">
        <v>18</v>
      </c>
    </row>
    <row r="10" spans="1:9" x14ac:dyDescent="0.25">
      <c r="A10" t="s">
        <v>35</v>
      </c>
      <c r="B10" t="s">
        <v>9</v>
      </c>
      <c r="C10" t="s">
        <v>37</v>
      </c>
      <c r="D10" t="s">
        <v>38</v>
      </c>
      <c r="E10" t="s">
        <v>10</v>
      </c>
      <c r="F10">
        <v>882</v>
      </c>
      <c r="G10" t="s">
        <v>203</v>
      </c>
    </row>
    <row r="11" spans="1:9" x14ac:dyDescent="0.25">
      <c r="G11" t="s">
        <v>107</v>
      </c>
    </row>
    <row r="12" spans="1:9" x14ac:dyDescent="0.25">
      <c r="G12" t="s">
        <v>204</v>
      </c>
    </row>
    <row r="13" spans="1:9" x14ac:dyDescent="0.25">
      <c r="G13" t="s">
        <v>108</v>
      </c>
    </row>
    <row r="14" spans="1:9" x14ac:dyDescent="0.25">
      <c r="G14" t="s">
        <v>205</v>
      </c>
    </row>
    <row r="16" spans="1:9" x14ac:dyDescent="0.25">
      <c r="A16" t="s">
        <v>39</v>
      </c>
      <c r="B16" t="s">
        <v>9</v>
      </c>
      <c r="C16" t="s">
        <v>41</v>
      </c>
      <c r="D16" t="s">
        <v>40</v>
      </c>
      <c r="E16" t="s">
        <v>10</v>
      </c>
      <c r="F16">
        <v>50</v>
      </c>
      <c r="H16" t="s">
        <v>42</v>
      </c>
    </row>
    <row r="17" spans="1:9" x14ac:dyDescent="0.25">
      <c r="A17" t="s">
        <v>158</v>
      </c>
      <c r="B17" t="s">
        <v>9</v>
      </c>
      <c r="C17" t="s">
        <v>159</v>
      </c>
      <c r="D17" t="s">
        <v>160</v>
      </c>
      <c r="E17" t="s">
        <v>10</v>
      </c>
      <c r="F17">
        <v>873</v>
      </c>
      <c r="G17" t="s">
        <v>163</v>
      </c>
      <c r="H17" t="s">
        <v>162</v>
      </c>
      <c r="I17" t="s">
        <v>161</v>
      </c>
    </row>
    <row r="18" spans="1:9" x14ac:dyDescent="0.25">
      <c r="G18" t="s">
        <v>164</v>
      </c>
    </row>
    <row r="19" spans="1:9" x14ac:dyDescent="0.25">
      <c r="G19" t="s">
        <v>29</v>
      </c>
    </row>
    <row r="20" spans="1:9" x14ac:dyDescent="0.25">
      <c r="G20" t="s">
        <v>106</v>
      </c>
    </row>
    <row r="21" spans="1:9" x14ac:dyDescent="0.25">
      <c r="A21" t="s">
        <v>49</v>
      </c>
      <c r="B21" t="s">
        <v>9</v>
      </c>
      <c r="C21" t="s">
        <v>181</v>
      </c>
      <c r="D21" t="s">
        <v>182</v>
      </c>
      <c r="E21" t="s">
        <v>10</v>
      </c>
      <c r="F21">
        <v>44</v>
      </c>
      <c r="G21" t="s">
        <v>107</v>
      </c>
      <c r="H21" t="s">
        <v>183</v>
      </c>
      <c r="I21" t="s">
        <v>184</v>
      </c>
    </row>
    <row r="22" spans="1:9" x14ac:dyDescent="0.25">
      <c r="G22" t="s">
        <v>108</v>
      </c>
      <c r="I22" t="s">
        <v>185</v>
      </c>
    </row>
    <row r="23" spans="1:9" x14ac:dyDescent="0.25">
      <c r="G23" t="s">
        <v>106</v>
      </c>
      <c r="I23" t="s">
        <v>186</v>
      </c>
    </row>
    <row r="24" spans="1:9" x14ac:dyDescent="0.25">
      <c r="I24" t="s">
        <v>187</v>
      </c>
    </row>
    <row r="25" spans="1:9" x14ac:dyDescent="0.25">
      <c r="A25" t="s">
        <v>206</v>
      </c>
      <c r="B25" t="s">
        <v>207</v>
      </c>
      <c r="C25" t="s">
        <v>211</v>
      </c>
      <c r="D25" t="s">
        <v>208</v>
      </c>
      <c r="E25" t="s">
        <v>10</v>
      </c>
      <c r="F25">
        <v>40</v>
      </c>
      <c r="G25" t="s">
        <v>107</v>
      </c>
      <c r="H25" t="s">
        <v>212</v>
      </c>
    </row>
    <row r="26" spans="1:9" x14ac:dyDescent="0.25">
      <c r="D26" t="s">
        <v>209</v>
      </c>
      <c r="G26" t="s">
        <v>108</v>
      </c>
      <c r="H26" t="s">
        <v>213</v>
      </c>
    </row>
    <row r="27" spans="1:9" x14ac:dyDescent="0.25">
      <c r="D27" t="s">
        <v>210</v>
      </c>
      <c r="G27" t="s">
        <v>214</v>
      </c>
    </row>
    <row r="28" spans="1:9" x14ac:dyDescent="0.25">
      <c r="G28" t="s">
        <v>215</v>
      </c>
    </row>
    <row r="29" spans="1:9" x14ac:dyDescent="0.25">
      <c r="A29" t="s">
        <v>234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zoomScaleNormal="100" workbookViewId="0">
      <selection activeCell="H115" sqref="H115"/>
    </sheetView>
  </sheetViews>
  <sheetFormatPr defaultRowHeight="15" x14ac:dyDescent="0.25"/>
  <cols>
    <col min="1" max="1" width="12.7109375" bestFit="1" customWidth="1"/>
  </cols>
  <sheetData>
    <row r="1" spans="1:12" x14ac:dyDescent="0.25">
      <c r="A1" t="s">
        <v>109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105</v>
      </c>
      <c r="J1" t="s">
        <v>103</v>
      </c>
      <c r="K1" t="s">
        <v>104</v>
      </c>
      <c r="L1" t="s">
        <v>27</v>
      </c>
    </row>
    <row r="2" spans="1:12" x14ac:dyDescent="0.25">
      <c r="A2" t="s">
        <v>110</v>
      </c>
      <c r="B2">
        <v>447</v>
      </c>
      <c r="C2">
        <v>5127</v>
      </c>
      <c r="D2">
        <v>30</v>
      </c>
      <c r="E2">
        <v>21</v>
      </c>
      <c r="F2">
        <v>15</v>
      </c>
      <c r="G2">
        <v>126</v>
      </c>
      <c r="H2">
        <v>36</v>
      </c>
      <c r="I2">
        <v>25</v>
      </c>
      <c r="J2">
        <v>97</v>
      </c>
      <c r="K2">
        <v>30</v>
      </c>
      <c r="L2" t="s">
        <v>106</v>
      </c>
    </row>
    <row r="3" spans="1:12" x14ac:dyDescent="0.25">
      <c r="A3" t="s">
        <v>111</v>
      </c>
      <c r="B3">
        <v>591</v>
      </c>
      <c r="C3">
        <v>6027</v>
      </c>
      <c r="D3">
        <v>43</v>
      </c>
      <c r="E3">
        <v>26</v>
      </c>
      <c r="F3">
        <v>14</v>
      </c>
      <c r="G3">
        <v>141</v>
      </c>
      <c r="H3">
        <v>39</v>
      </c>
      <c r="I3">
        <v>27</v>
      </c>
      <c r="J3">
        <v>98</v>
      </c>
      <c r="K3">
        <v>33</v>
      </c>
      <c r="L3" t="s">
        <v>106</v>
      </c>
    </row>
    <row r="4" spans="1:12" x14ac:dyDescent="0.25">
      <c r="A4" t="s">
        <v>112</v>
      </c>
      <c r="B4">
        <v>422</v>
      </c>
      <c r="C4">
        <v>20532</v>
      </c>
      <c r="D4">
        <v>159</v>
      </c>
      <c r="E4">
        <v>22</v>
      </c>
      <c r="F4">
        <v>24</v>
      </c>
      <c r="G4">
        <v>213</v>
      </c>
      <c r="H4">
        <v>0</v>
      </c>
      <c r="I4">
        <v>132</v>
      </c>
      <c r="J4">
        <v>1142</v>
      </c>
      <c r="K4">
        <v>69</v>
      </c>
      <c r="L4" t="s">
        <v>107</v>
      </c>
    </row>
    <row r="5" spans="1:12" x14ac:dyDescent="0.25">
      <c r="A5" t="s">
        <v>113</v>
      </c>
      <c r="B5">
        <v>284</v>
      </c>
      <c r="C5">
        <v>7227</v>
      </c>
      <c r="D5">
        <v>29</v>
      </c>
      <c r="E5">
        <v>26</v>
      </c>
      <c r="F5">
        <v>18</v>
      </c>
      <c r="G5">
        <v>152</v>
      </c>
      <c r="H5">
        <v>27</v>
      </c>
      <c r="I5">
        <v>28</v>
      </c>
      <c r="J5">
        <v>121</v>
      </c>
      <c r="K5">
        <v>18</v>
      </c>
      <c r="L5" t="s">
        <v>106</v>
      </c>
    </row>
    <row r="6" spans="1:12" x14ac:dyDescent="0.25">
      <c r="A6" t="s">
        <v>114</v>
      </c>
      <c r="B6">
        <v>515</v>
      </c>
      <c r="C6">
        <v>7664</v>
      </c>
      <c r="D6">
        <v>34</v>
      </c>
      <c r="E6">
        <v>26</v>
      </c>
      <c r="F6">
        <v>20</v>
      </c>
      <c r="G6">
        <v>202</v>
      </c>
      <c r="H6">
        <v>13</v>
      </c>
      <c r="I6">
        <v>24</v>
      </c>
      <c r="J6">
        <v>93</v>
      </c>
      <c r="K6">
        <v>23</v>
      </c>
      <c r="L6" t="s">
        <v>106</v>
      </c>
    </row>
    <row r="7" spans="1:12" x14ac:dyDescent="0.25">
      <c r="A7" t="s">
        <v>115</v>
      </c>
      <c r="B7">
        <v>328</v>
      </c>
      <c r="C7">
        <v>15971</v>
      </c>
      <c r="D7">
        <v>41</v>
      </c>
      <c r="E7">
        <v>30</v>
      </c>
      <c r="F7">
        <v>30</v>
      </c>
      <c r="G7">
        <v>258</v>
      </c>
      <c r="H7">
        <v>48</v>
      </c>
      <c r="I7">
        <v>34</v>
      </c>
      <c r="J7">
        <v>347</v>
      </c>
      <c r="K7">
        <v>21</v>
      </c>
      <c r="L7" t="s">
        <v>108</v>
      </c>
    </row>
    <row r="8" spans="1:12" x14ac:dyDescent="0.25">
      <c r="A8" t="s">
        <v>116</v>
      </c>
      <c r="B8">
        <v>572</v>
      </c>
      <c r="C8">
        <v>30870</v>
      </c>
      <c r="D8">
        <v>198</v>
      </c>
      <c r="E8">
        <v>26</v>
      </c>
      <c r="F8">
        <v>29</v>
      </c>
      <c r="G8">
        <v>242</v>
      </c>
      <c r="H8">
        <v>0</v>
      </c>
      <c r="I8">
        <v>142</v>
      </c>
      <c r="J8">
        <v>1186</v>
      </c>
      <c r="K8">
        <v>63</v>
      </c>
      <c r="L8" t="s">
        <v>107</v>
      </c>
    </row>
    <row r="9" spans="1:12" x14ac:dyDescent="0.25">
      <c r="A9" t="s">
        <v>117</v>
      </c>
      <c r="B9">
        <v>697</v>
      </c>
      <c r="C9">
        <v>30474</v>
      </c>
      <c r="D9">
        <v>189</v>
      </c>
      <c r="E9">
        <v>24</v>
      </c>
      <c r="F9">
        <v>31</v>
      </c>
      <c r="G9">
        <v>230</v>
      </c>
      <c r="H9">
        <v>1</v>
      </c>
      <c r="I9">
        <v>142</v>
      </c>
      <c r="J9">
        <v>1170</v>
      </c>
      <c r="K9">
        <v>62</v>
      </c>
      <c r="L9" t="s">
        <v>107</v>
      </c>
    </row>
    <row r="10" spans="1:12" x14ac:dyDescent="0.25">
      <c r="A10" t="s">
        <v>118</v>
      </c>
      <c r="B10">
        <v>384</v>
      </c>
      <c r="C10">
        <v>16233</v>
      </c>
      <c r="D10">
        <v>61</v>
      </c>
      <c r="E10">
        <v>29</v>
      </c>
      <c r="F10">
        <v>30</v>
      </c>
      <c r="G10">
        <v>253</v>
      </c>
      <c r="H10">
        <v>50</v>
      </c>
      <c r="I10">
        <v>34</v>
      </c>
      <c r="J10">
        <v>332</v>
      </c>
      <c r="K10">
        <v>20</v>
      </c>
      <c r="L10" t="s">
        <v>108</v>
      </c>
    </row>
    <row r="11" spans="1:12" x14ac:dyDescent="0.25">
      <c r="A11" t="s">
        <v>119</v>
      </c>
      <c r="B11">
        <v>338</v>
      </c>
      <c r="C11">
        <v>12723</v>
      </c>
      <c r="D11">
        <v>38</v>
      </c>
      <c r="E11">
        <v>19</v>
      </c>
      <c r="F11">
        <v>29</v>
      </c>
      <c r="G11">
        <v>220</v>
      </c>
      <c r="H11">
        <v>44</v>
      </c>
      <c r="I11">
        <v>32</v>
      </c>
      <c r="J11">
        <v>300</v>
      </c>
      <c r="K11">
        <v>17</v>
      </c>
      <c r="L11" t="s">
        <v>108</v>
      </c>
    </row>
    <row r="12" spans="1:12" x14ac:dyDescent="0.25">
      <c r="A12" t="s">
        <v>120</v>
      </c>
      <c r="B12">
        <v>442</v>
      </c>
      <c r="C12">
        <v>5623</v>
      </c>
      <c r="D12">
        <v>18</v>
      </c>
      <c r="E12">
        <v>13</v>
      </c>
      <c r="F12">
        <v>21</v>
      </c>
      <c r="G12">
        <v>179</v>
      </c>
      <c r="H12">
        <v>10</v>
      </c>
      <c r="I12">
        <v>22</v>
      </c>
      <c r="J12">
        <v>81</v>
      </c>
      <c r="K12">
        <v>21</v>
      </c>
      <c r="L12" t="s">
        <v>106</v>
      </c>
    </row>
    <row r="13" spans="1:12" x14ac:dyDescent="0.25">
      <c r="A13" t="s">
        <v>121</v>
      </c>
      <c r="B13">
        <v>633</v>
      </c>
      <c r="C13">
        <v>7750</v>
      </c>
      <c r="D13">
        <v>31</v>
      </c>
      <c r="E13">
        <v>30</v>
      </c>
      <c r="F13">
        <v>27</v>
      </c>
      <c r="G13">
        <v>227</v>
      </c>
      <c r="H13">
        <v>12</v>
      </c>
      <c r="I13">
        <v>27</v>
      </c>
      <c r="J13">
        <v>104</v>
      </c>
      <c r="K13">
        <v>26</v>
      </c>
      <c r="L13" t="s">
        <v>106</v>
      </c>
    </row>
    <row r="14" spans="1:12" x14ac:dyDescent="0.25">
      <c r="A14" t="s">
        <v>122</v>
      </c>
      <c r="B14">
        <v>421</v>
      </c>
      <c r="C14">
        <v>16700</v>
      </c>
      <c r="D14">
        <v>63</v>
      </c>
      <c r="E14">
        <v>32</v>
      </c>
      <c r="F14">
        <v>35</v>
      </c>
      <c r="G14">
        <v>268</v>
      </c>
      <c r="H14">
        <v>49</v>
      </c>
      <c r="I14">
        <v>35</v>
      </c>
      <c r="J14">
        <v>345</v>
      </c>
      <c r="K14">
        <v>21</v>
      </c>
      <c r="L14" t="s">
        <v>108</v>
      </c>
    </row>
    <row r="15" spans="1:12" x14ac:dyDescent="0.25">
      <c r="A15" t="s">
        <v>123</v>
      </c>
      <c r="B15">
        <v>577</v>
      </c>
      <c r="C15">
        <v>7677</v>
      </c>
      <c r="D15">
        <v>28</v>
      </c>
      <c r="E15">
        <v>26</v>
      </c>
      <c r="F15">
        <v>23</v>
      </c>
      <c r="G15">
        <v>218</v>
      </c>
      <c r="H15">
        <v>15</v>
      </c>
      <c r="I15">
        <v>22</v>
      </c>
      <c r="J15">
        <v>93</v>
      </c>
      <c r="K15">
        <v>25</v>
      </c>
      <c r="L15" t="s">
        <v>106</v>
      </c>
    </row>
    <row r="16" spans="1:12" x14ac:dyDescent="0.25">
      <c r="A16" t="s">
        <v>124</v>
      </c>
      <c r="B16">
        <v>472</v>
      </c>
      <c r="C16">
        <v>24251</v>
      </c>
      <c r="D16">
        <v>189</v>
      </c>
      <c r="E16">
        <v>29</v>
      </c>
      <c r="F16">
        <v>27</v>
      </c>
      <c r="G16">
        <v>244</v>
      </c>
      <c r="H16">
        <v>0</v>
      </c>
      <c r="I16">
        <v>142</v>
      </c>
      <c r="J16">
        <v>1252</v>
      </c>
      <c r="K16">
        <v>77</v>
      </c>
      <c r="L16" t="s">
        <v>107</v>
      </c>
    </row>
    <row r="17" spans="1:12" x14ac:dyDescent="0.25">
      <c r="A17" t="s">
        <v>125</v>
      </c>
      <c r="B17">
        <v>577</v>
      </c>
      <c r="C17">
        <v>26804</v>
      </c>
      <c r="D17">
        <v>186</v>
      </c>
      <c r="E17">
        <v>26</v>
      </c>
      <c r="F17">
        <v>28</v>
      </c>
      <c r="G17">
        <v>207</v>
      </c>
      <c r="H17">
        <v>3</v>
      </c>
      <c r="I17">
        <v>125</v>
      </c>
      <c r="J17">
        <v>1048</v>
      </c>
      <c r="K17">
        <v>55</v>
      </c>
      <c r="L17" t="s">
        <v>107</v>
      </c>
    </row>
    <row r="18" spans="1:12" x14ac:dyDescent="0.25">
      <c r="A18" t="s">
        <v>126</v>
      </c>
      <c r="B18">
        <v>631</v>
      </c>
      <c r="C18">
        <v>31016</v>
      </c>
      <c r="D18">
        <v>164</v>
      </c>
      <c r="E18">
        <v>28</v>
      </c>
      <c r="F18">
        <v>29</v>
      </c>
      <c r="G18">
        <v>246</v>
      </c>
      <c r="H18">
        <v>1</v>
      </c>
      <c r="I18">
        <v>133</v>
      </c>
      <c r="J18">
        <v>1107</v>
      </c>
      <c r="K18">
        <v>59</v>
      </c>
      <c r="L18" t="s">
        <v>107</v>
      </c>
    </row>
    <row r="19" spans="1:12" x14ac:dyDescent="0.25">
      <c r="A19" t="s">
        <v>127</v>
      </c>
      <c r="B19">
        <v>395</v>
      </c>
      <c r="C19">
        <v>16005</v>
      </c>
      <c r="D19">
        <v>46</v>
      </c>
      <c r="E19">
        <v>32</v>
      </c>
      <c r="F19">
        <v>33</v>
      </c>
      <c r="G19">
        <v>264</v>
      </c>
      <c r="H19">
        <v>52</v>
      </c>
      <c r="I19">
        <v>39</v>
      </c>
      <c r="J19">
        <v>351</v>
      </c>
      <c r="K19">
        <v>21</v>
      </c>
      <c r="L19" t="s">
        <v>108</v>
      </c>
    </row>
    <row r="20" spans="1:12" x14ac:dyDescent="0.25">
      <c r="A20" t="s">
        <v>128</v>
      </c>
      <c r="B20">
        <v>366</v>
      </c>
      <c r="C20">
        <v>13788</v>
      </c>
      <c r="D20">
        <v>37</v>
      </c>
      <c r="E20">
        <v>21</v>
      </c>
      <c r="F20">
        <v>29</v>
      </c>
      <c r="G20">
        <v>235</v>
      </c>
      <c r="H20">
        <v>40</v>
      </c>
      <c r="I20">
        <v>32</v>
      </c>
      <c r="J20">
        <v>316</v>
      </c>
      <c r="K20">
        <v>20</v>
      </c>
      <c r="L20" t="s">
        <v>108</v>
      </c>
    </row>
    <row r="21" spans="1:12" x14ac:dyDescent="0.25">
      <c r="A21" t="s">
        <v>129</v>
      </c>
      <c r="B21">
        <v>576</v>
      </c>
      <c r="C21">
        <v>30059</v>
      </c>
      <c r="D21">
        <v>189</v>
      </c>
      <c r="E21">
        <v>25</v>
      </c>
      <c r="F21">
        <v>29</v>
      </c>
      <c r="G21">
        <v>232</v>
      </c>
      <c r="H21">
        <v>1</v>
      </c>
      <c r="I21">
        <v>135</v>
      </c>
      <c r="J21">
        <v>1159</v>
      </c>
      <c r="K21">
        <v>63</v>
      </c>
      <c r="L21" t="s">
        <v>107</v>
      </c>
    </row>
    <row r="22" spans="1:12" x14ac:dyDescent="0.25">
      <c r="A22" t="s">
        <v>130</v>
      </c>
      <c r="B22">
        <v>325</v>
      </c>
      <c r="C22">
        <v>13567</v>
      </c>
      <c r="D22">
        <v>39</v>
      </c>
      <c r="E22">
        <v>22</v>
      </c>
      <c r="F22">
        <v>28</v>
      </c>
      <c r="G22">
        <v>234</v>
      </c>
      <c r="H22">
        <v>42</v>
      </c>
      <c r="I22">
        <v>33</v>
      </c>
      <c r="J22">
        <v>308</v>
      </c>
      <c r="K22">
        <v>17</v>
      </c>
      <c r="L22" t="s">
        <v>108</v>
      </c>
    </row>
    <row r="23" spans="1:12" x14ac:dyDescent="0.25">
      <c r="A23" t="s">
        <v>131</v>
      </c>
      <c r="B23">
        <v>396</v>
      </c>
      <c r="C23">
        <v>28461</v>
      </c>
      <c r="D23">
        <v>231</v>
      </c>
      <c r="E23">
        <v>33</v>
      </c>
      <c r="F23">
        <v>38</v>
      </c>
      <c r="G23">
        <v>313</v>
      </c>
      <c r="H23">
        <v>0</v>
      </c>
      <c r="I23">
        <v>162</v>
      </c>
      <c r="J23">
        <v>1364</v>
      </c>
      <c r="K23">
        <v>76</v>
      </c>
      <c r="L23" t="s">
        <v>107</v>
      </c>
    </row>
    <row r="24" spans="1:12" x14ac:dyDescent="0.25">
      <c r="A24" t="s">
        <v>132</v>
      </c>
      <c r="B24">
        <v>370</v>
      </c>
      <c r="C24">
        <v>14548</v>
      </c>
      <c r="D24">
        <v>36</v>
      </c>
      <c r="E24">
        <v>26</v>
      </c>
      <c r="F24">
        <v>28</v>
      </c>
      <c r="G24">
        <v>241</v>
      </c>
      <c r="H24">
        <v>46</v>
      </c>
      <c r="I24">
        <v>33</v>
      </c>
      <c r="J24">
        <v>326</v>
      </c>
      <c r="K24">
        <v>19</v>
      </c>
      <c r="L24" t="s">
        <v>108</v>
      </c>
    </row>
    <row r="25" spans="1:12" x14ac:dyDescent="0.25">
      <c r="A25" t="s">
        <v>133</v>
      </c>
      <c r="B25">
        <v>307</v>
      </c>
      <c r="C25">
        <v>13915</v>
      </c>
      <c r="D25">
        <v>48</v>
      </c>
      <c r="E25">
        <v>22</v>
      </c>
      <c r="F25">
        <v>25</v>
      </c>
      <c r="G25">
        <v>230</v>
      </c>
      <c r="H25">
        <v>45</v>
      </c>
      <c r="I25">
        <v>33</v>
      </c>
      <c r="J25">
        <v>313</v>
      </c>
      <c r="K25">
        <v>19</v>
      </c>
      <c r="L25" t="s">
        <v>108</v>
      </c>
    </row>
    <row r="26" spans="1:12" x14ac:dyDescent="0.25">
      <c r="A26" t="s">
        <v>134</v>
      </c>
      <c r="B26">
        <v>516</v>
      </c>
      <c r="C26">
        <v>7233</v>
      </c>
      <c r="D26">
        <v>29</v>
      </c>
      <c r="E26">
        <v>27</v>
      </c>
      <c r="F26">
        <v>24</v>
      </c>
      <c r="G26">
        <v>220</v>
      </c>
      <c r="H26">
        <v>13</v>
      </c>
      <c r="I26">
        <v>24</v>
      </c>
      <c r="J26">
        <v>91</v>
      </c>
      <c r="K26">
        <v>25</v>
      </c>
      <c r="L26" t="s">
        <v>106</v>
      </c>
    </row>
    <row r="27" spans="1:12" x14ac:dyDescent="0.25">
      <c r="A27" t="s">
        <v>135</v>
      </c>
      <c r="B27">
        <v>296</v>
      </c>
      <c r="C27">
        <v>14853</v>
      </c>
      <c r="D27">
        <v>44</v>
      </c>
      <c r="E27">
        <v>28</v>
      </c>
      <c r="F27">
        <v>28</v>
      </c>
      <c r="G27">
        <v>238</v>
      </c>
      <c r="H27">
        <v>46</v>
      </c>
      <c r="I27">
        <v>34</v>
      </c>
      <c r="J27">
        <v>326</v>
      </c>
      <c r="K27">
        <v>20</v>
      </c>
      <c r="L27" t="s">
        <v>108</v>
      </c>
    </row>
    <row r="28" spans="1:12" x14ac:dyDescent="0.25">
      <c r="A28" t="s">
        <v>136</v>
      </c>
      <c r="B28">
        <v>311</v>
      </c>
      <c r="C28">
        <v>13614</v>
      </c>
      <c r="D28">
        <v>40</v>
      </c>
      <c r="E28">
        <v>21</v>
      </c>
      <c r="F28">
        <v>25</v>
      </c>
      <c r="G28">
        <v>229</v>
      </c>
      <c r="H28">
        <v>47</v>
      </c>
      <c r="I28">
        <v>32</v>
      </c>
      <c r="J28">
        <v>308</v>
      </c>
      <c r="K28">
        <v>18</v>
      </c>
      <c r="L28" t="s">
        <v>108</v>
      </c>
    </row>
    <row r="29" spans="1:12" x14ac:dyDescent="0.25">
      <c r="A29" t="s">
        <v>137</v>
      </c>
      <c r="B29">
        <v>508</v>
      </c>
      <c r="C29">
        <v>7676</v>
      </c>
      <c r="D29">
        <v>28</v>
      </c>
      <c r="E29">
        <v>22</v>
      </c>
      <c r="F29">
        <v>19</v>
      </c>
      <c r="G29">
        <v>184</v>
      </c>
      <c r="H29">
        <v>12</v>
      </c>
      <c r="I29">
        <v>24</v>
      </c>
      <c r="J29">
        <v>84</v>
      </c>
      <c r="K29">
        <v>23</v>
      </c>
      <c r="L29" t="s">
        <v>106</v>
      </c>
    </row>
    <row r="30" spans="1:12" x14ac:dyDescent="0.25">
      <c r="A30" t="s">
        <v>138</v>
      </c>
      <c r="B30">
        <v>461</v>
      </c>
      <c r="C30">
        <v>20749</v>
      </c>
      <c r="D30">
        <v>167</v>
      </c>
      <c r="E30">
        <v>24</v>
      </c>
      <c r="F30">
        <v>28</v>
      </c>
      <c r="G30">
        <v>218</v>
      </c>
      <c r="H30">
        <v>0</v>
      </c>
      <c r="I30">
        <v>130</v>
      </c>
      <c r="J30">
        <v>1175</v>
      </c>
      <c r="K30">
        <v>71</v>
      </c>
      <c r="L30" t="s">
        <v>107</v>
      </c>
    </row>
    <row r="31" spans="1:12" x14ac:dyDescent="0.25">
      <c r="A31" t="s">
        <v>139</v>
      </c>
      <c r="B31">
        <v>276</v>
      </c>
      <c r="C31">
        <v>12381</v>
      </c>
      <c r="D31">
        <v>36</v>
      </c>
      <c r="E31">
        <v>23</v>
      </c>
      <c r="F31">
        <v>26</v>
      </c>
      <c r="G31">
        <v>219</v>
      </c>
      <c r="H31">
        <v>39</v>
      </c>
      <c r="I31">
        <v>31</v>
      </c>
      <c r="J31">
        <v>301</v>
      </c>
      <c r="K31">
        <v>16</v>
      </c>
      <c r="L31" t="s">
        <v>108</v>
      </c>
    </row>
    <row r="32" spans="1:12" x14ac:dyDescent="0.25">
      <c r="A32" t="s">
        <v>140</v>
      </c>
      <c r="B32">
        <v>324</v>
      </c>
      <c r="C32">
        <v>16623</v>
      </c>
      <c r="D32">
        <v>52</v>
      </c>
      <c r="E32">
        <v>32</v>
      </c>
      <c r="F32">
        <v>27</v>
      </c>
      <c r="G32">
        <v>270</v>
      </c>
      <c r="H32">
        <v>52</v>
      </c>
      <c r="I32">
        <v>34</v>
      </c>
      <c r="J32">
        <v>343</v>
      </c>
      <c r="K32">
        <v>22</v>
      </c>
      <c r="L32" t="s">
        <v>108</v>
      </c>
    </row>
    <row r="33" spans="1:12" x14ac:dyDescent="0.25">
      <c r="A33" t="s">
        <v>141</v>
      </c>
      <c r="B33">
        <v>596</v>
      </c>
      <c r="C33">
        <v>7535</v>
      </c>
      <c r="D33">
        <v>32</v>
      </c>
      <c r="E33">
        <v>26</v>
      </c>
      <c r="F33">
        <v>26</v>
      </c>
      <c r="G33">
        <v>225</v>
      </c>
      <c r="H33">
        <v>11</v>
      </c>
      <c r="I33">
        <v>24</v>
      </c>
      <c r="J33">
        <v>95</v>
      </c>
      <c r="K33">
        <v>28</v>
      </c>
      <c r="L33" t="s">
        <v>106</v>
      </c>
    </row>
    <row r="34" spans="1:12" x14ac:dyDescent="0.25">
      <c r="A34" t="s">
        <v>142</v>
      </c>
      <c r="B34">
        <v>346</v>
      </c>
      <c r="C34">
        <v>15872</v>
      </c>
      <c r="D34">
        <v>48</v>
      </c>
      <c r="E34">
        <v>29</v>
      </c>
      <c r="F34">
        <v>28</v>
      </c>
      <c r="G34">
        <v>244</v>
      </c>
      <c r="H34">
        <v>47</v>
      </c>
      <c r="I34">
        <v>36</v>
      </c>
      <c r="J34">
        <v>329</v>
      </c>
      <c r="K34">
        <v>20</v>
      </c>
      <c r="L34" t="s">
        <v>108</v>
      </c>
    </row>
    <row r="35" spans="1:12" x14ac:dyDescent="0.25">
      <c r="A35" t="s">
        <v>143</v>
      </c>
      <c r="B35">
        <v>516</v>
      </c>
      <c r="C35">
        <v>28731</v>
      </c>
      <c r="D35">
        <v>244</v>
      </c>
      <c r="E35">
        <v>35</v>
      </c>
      <c r="F35">
        <v>40</v>
      </c>
      <c r="G35">
        <v>317</v>
      </c>
      <c r="H35">
        <v>0</v>
      </c>
      <c r="I35">
        <v>163</v>
      </c>
      <c r="J35">
        <v>1398</v>
      </c>
      <c r="K35">
        <v>79</v>
      </c>
      <c r="L35" t="s">
        <v>107</v>
      </c>
    </row>
    <row r="36" spans="1:12" x14ac:dyDescent="0.25">
      <c r="A36" t="s">
        <v>144</v>
      </c>
      <c r="B36">
        <v>483</v>
      </c>
      <c r="C36">
        <v>6053</v>
      </c>
      <c r="D36">
        <v>21</v>
      </c>
      <c r="E36">
        <v>18</v>
      </c>
      <c r="F36">
        <v>23</v>
      </c>
      <c r="G36">
        <v>180</v>
      </c>
      <c r="H36">
        <v>12</v>
      </c>
      <c r="I36">
        <v>20</v>
      </c>
      <c r="J36">
        <v>87</v>
      </c>
      <c r="K36">
        <v>21</v>
      </c>
      <c r="L36" t="s">
        <v>106</v>
      </c>
    </row>
    <row r="37" spans="1:12" x14ac:dyDescent="0.25">
      <c r="A37" t="s">
        <v>145</v>
      </c>
      <c r="B37">
        <v>561</v>
      </c>
      <c r="C37">
        <v>32363</v>
      </c>
      <c r="D37">
        <v>194</v>
      </c>
      <c r="E37">
        <v>29</v>
      </c>
      <c r="F37">
        <v>26</v>
      </c>
      <c r="G37">
        <v>228</v>
      </c>
      <c r="H37">
        <v>0</v>
      </c>
      <c r="I37">
        <v>130</v>
      </c>
      <c r="J37">
        <v>1173</v>
      </c>
      <c r="K37">
        <v>60</v>
      </c>
      <c r="L37" t="s">
        <v>107</v>
      </c>
    </row>
    <row r="38" spans="1:12" x14ac:dyDescent="0.25">
      <c r="A38" t="s">
        <v>146</v>
      </c>
      <c r="B38">
        <v>840</v>
      </c>
      <c r="C38">
        <v>43192</v>
      </c>
      <c r="D38">
        <v>307</v>
      </c>
      <c r="E38">
        <v>42</v>
      </c>
      <c r="F38">
        <v>43</v>
      </c>
      <c r="G38">
        <v>318</v>
      </c>
      <c r="H38">
        <v>2</v>
      </c>
      <c r="I38">
        <v>180</v>
      </c>
      <c r="J38">
        <v>1456</v>
      </c>
      <c r="K38">
        <v>75</v>
      </c>
      <c r="L38" t="s">
        <v>107</v>
      </c>
    </row>
    <row r="39" spans="1:12" x14ac:dyDescent="0.25">
      <c r="A39" t="s">
        <v>147</v>
      </c>
      <c r="B39">
        <v>642</v>
      </c>
      <c r="C39">
        <v>31931</v>
      </c>
      <c r="D39">
        <v>176</v>
      </c>
      <c r="E39">
        <v>28</v>
      </c>
      <c r="F39">
        <v>33</v>
      </c>
      <c r="G39">
        <v>224</v>
      </c>
      <c r="H39">
        <v>2</v>
      </c>
      <c r="I39">
        <v>137</v>
      </c>
      <c r="J39">
        <v>1199</v>
      </c>
      <c r="K39">
        <v>60</v>
      </c>
      <c r="L39" t="s">
        <v>107</v>
      </c>
    </row>
    <row r="40" spans="1:12" x14ac:dyDescent="0.25">
      <c r="A40" t="s">
        <v>148</v>
      </c>
      <c r="B40">
        <v>364</v>
      </c>
      <c r="C40">
        <v>17371</v>
      </c>
      <c r="D40">
        <v>59</v>
      </c>
      <c r="E40">
        <v>31</v>
      </c>
      <c r="F40">
        <v>31</v>
      </c>
      <c r="G40">
        <v>270</v>
      </c>
      <c r="H40">
        <v>51</v>
      </c>
      <c r="I40">
        <v>35</v>
      </c>
      <c r="J40">
        <v>352</v>
      </c>
      <c r="K40">
        <v>23</v>
      </c>
      <c r="L40" t="s">
        <v>108</v>
      </c>
    </row>
    <row r="41" spans="1:12" x14ac:dyDescent="0.25">
      <c r="A41" t="s">
        <v>149</v>
      </c>
      <c r="B41">
        <v>443</v>
      </c>
      <c r="C41">
        <v>20062</v>
      </c>
      <c r="D41">
        <v>71</v>
      </c>
      <c r="E41">
        <v>36</v>
      </c>
      <c r="F41">
        <v>36</v>
      </c>
      <c r="G41">
        <v>309</v>
      </c>
      <c r="H41">
        <v>56</v>
      </c>
      <c r="I41">
        <v>40</v>
      </c>
      <c r="J41">
        <v>376</v>
      </c>
      <c r="K41">
        <v>24</v>
      </c>
      <c r="L41" t="s">
        <v>108</v>
      </c>
    </row>
    <row r="42" spans="1:12" x14ac:dyDescent="0.25">
      <c r="A42" t="s">
        <v>150</v>
      </c>
      <c r="B42">
        <v>439</v>
      </c>
      <c r="C42">
        <v>20337</v>
      </c>
      <c r="D42">
        <v>72</v>
      </c>
      <c r="E42">
        <v>36</v>
      </c>
      <c r="F42">
        <v>35</v>
      </c>
      <c r="G42">
        <v>303</v>
      </c>
      <c r="H42">
        <v>58</v>
      </c>
      <c r="I42">
        <v>35</v>
      </c>
      <c r="J42">
        <v>362</v>
      </c>
      <c r="K42">
        <v>23</v>
      </c>
      <c r="L42" t="s">
        <v>108</v>
      </c>
    </row>
    <row r="43" spans="1:12" x14ac:dyDescent="0.25">
      <c r="A43" t="s">
        <v>151</v>
      </c>
      <c r="B43">
        <v>451</v>
      </c>
      <c r="C43">
        <v>21235</v>
      </c>
      <c r="D43">
        <v>152</v>
      </c>
      <c r="E43">
        <v>25</v>
      </c>
      <c r="F43">
        <v>28</v>
      </c>
      <c r="G43">
        <v>225</v>
      </c>
      <c r="H43">
        <v>0</v>
      </c>
      <c r="I43">
        <v>131</v>
      </c>
      <c r="J43">
        <v>1179</v>
      </c>
      <c r="K43">
        <v>73</v>
      </c>
      <c r="L43" t="s">
        <v>107</v>
      </c>
    </row>
    <row r="44" spans="1:12" x14ac:dyDescent="0.25">
      <c r="A44" t="s">
        <v>152</v>
      </c>
      <c r="B44">
        <v>519</v>
      </c>
      <c r="C44">
        <v>25929</v>
      </c>
      <c r="D44">
        <v>209</v>
      </c>
      <c r="E44">
        <v>35</v>
      </c>
      <c r="F44">
        <v>32</v>
      </c>
      <c r="G44">
        <v>266</v>
      </c>
      <c r="H44">
        <v>1</v>
      </c>
      <c r="I44">
        <v>152</v>
      </c>
      <c r="J44">
        <v>1366</v>
      </c>
      <c r="K44">
        <v>82</v>
      </c>
      <c r="L44" t="s">
        <v>107</v>
      </c>
    </row>
    <row r="45" spans="1:12" x14ac:dyDescent="0.25">
      <c r="A45" t="s">
        <v>153</v>
      </c>
      <c r="B45">
        <v>335</v>
      </c>
      <c r="C45">
        <v>7449</v>
      </c>
      <c r="D45">
        <v>43</v>
      </c>
      <c r="E45">
        <v>29</v>
      </c>
      <c r="F45">
        <v>17</v>
      </c>
      <c r="G45">
        <v>150</v>
      </c>
      <c r="H45">
        <v>26</v>
      </c>
      <c r="I45">
        <v>27</v>
      </c>
      <c r="J45">
        <v>126</v>
      </c>
      <c r="K45">
        <v>16</v>
      </c>
      <c r="L45" t="s">
        <v>106</v>
      </c>
    </row>
    <row r="49" spans="1:12" x14ac:dyDescent="0.25">
      <c r="A49" t="s">
        <v>109</v>
      </c>
      <c r="B49" t="s">
        <v>96</v>
      </c>
      <c r="C49" t="s">
        <v>97</v>
      </c>
      <c r="D49" t="s">
        <v>98</v>
      </c>
      <c r="E49" t="s">
        <v>99</v>
      </c>
      <c r="F49" t="s">
        <v>100</v>
      </c>
      <c r="G49" t="s">
        <v>101</v>
      </c>
      <c r="H49" t="s">
        <v>102</v>
      </c>
      <c r="I49" t="s">
        <v>105</v>
      </c>
      <c r="J49" t="s">
        <v>103</v>
      </c>
      <c r="K49" t="s">
        <v>104</v>
      </c>
      <c r="L49" t="s">
        <v>27</v>
      </c>
    </row>
    <row r="50" spans="1:12" x14ac:dyDescent="0.25">
      <c r="A50" t="s">
        <v>110</v>
      </c>
      <c r="B50">
        <v>447</v>
      </c>
      <c r="C50">
        <v>5127</v>
      </c>
      <c r="D50">
        <v>30</v>
      </c>
      <c r="E50">
        <v>21</v>
      </c>
      <c r="F50">
        <v>15</v>
      </c>
      <c r="G50">
        <v>126</v>
      </c>
      <c r="H50">
        <v>36</v>
      </c>
      <c r="I50">
        <v>25</v>
      </c>
      <c r="J50">
        <v>97</v>
      </c>
      <c r="K50">
        <v>30</v>
      </c>
      <c r="L50" t="s">
        <v>106</v>
      </c>
    </row>
    <row r="51" spans="1:12" x14ac:dyDescent="0.25">
      <c r="A51" t="s">
        <v>111</v>
      </c>
      <c r="B51">
        <v>591</v>
      </c>
      <c r="C51">
        <v>6027</v>
      </c>
      <c r="D51">
        <v>43</v>
      </c>
      <c r="E51">
        <v>26</v>
      </c>
      <c r="F51">
        <v>14</v>
      </c>
      <c r="G51">
        <v>141</v>
      </c>
      <c r="H51">
        <v>39</v>
      </c>
      <c r="I51">
        <v>27</v>
      </c>
      <c r="J51">
        <v>98</v>
      </c>
      <c r="K51">
        <v>33</v>
      </c>
      <c r="L51" t="s">
        <v>106</v>
      </c>
    </row>
    <row r="52" spans="1:12" x14ac:dyDescent="0.25">
      <c r="A52" t="s">
        <v>113</v>
      </c>
      <c r="B52">
        <v>284</v>
      </c>
      <c r="C52">
        <v>7227</v>
      </c>
      <c r="D52">
        <v>29</v>
      </c>
      <c r="E52">
        <v>26</v>
      </c>
      <c r="F52">
        <v>18</v>
      </c>
      <c r="G52">
        <v>152</v>
      </c>
      <c r="H52">
        <v>27</v>
      </c>
      <c r="I52">
        <v>28</v>
      </c>
      <c r="J52">
        <v>121</v>
      </c>
      <c r="K52">
        <v>18</v>
      </c>
      <c r="L52" t="s">
        <v>106</v>
      </c>
    </row>
    <row r="53" spans="1:12" x14ac:dyDescent="0.25">
      <c r="A53" t="s">
        <v>114</v>
      </c>
      <c r="B53">
        <v>515</v>
      </c>
      <c r="C53">
        <v>7664</v>
      </c>
      <c r="D53">
        <v>34</v>
      </c>
      <c r="E53">
        <v>26</v>
      </c>
      <c r="F53">
        <v>20</v>
      </c>
      <c r="G53">
        <v>202</v>
      </c>
      <c r="H53">
        <v>13</v>
      </c>
      <c r="I53">
        <v>24</v>
      </c>
      <c r="J53">
        <v>93</v>
      </c>
      <c r="K53">
        <v>23</v>
      </c>
      <c r="L53" t="s">
        <v>106</v>
      </c>
    </row>
    <row r="54" spans="1:12" x14ac:dyDescent="0.25">
      <c r="A54" t="s">
        <v>120</v>
      </c>
      <c r="B54">
        <v>442</v>
      </c>
      <c r="C54">
        <v>5623</v>
      </c>
      <c r="D54">
        <v>18</v>
      </c>
      <c r="E54">
        <v>13</v>
      </c>
      <c r="F54">
        <v>21</v>
      </c>
      <c r="G54">
        <v>179</v>
      </c>
      <c r="H54">
        <v>10</v>
      </c>
      <c r="I54">
        <v>22</v>
      </c>
      <c r="J54">
        <v>81</v>
      </c>
      <c r="K54">
        <v>21</v>
      </c>
      <c r="L54" t="s">
        <v>106</v>
      </c>
    </row>
    <row r="55" spans="1:12" x14ac:dyDescent="0.25">
      <c r="A55" t="s">
        <v>121</v>
      </c>
      <c r="B55">
        <v>633</v>
      </c>
      <c r="C55">
        <v>7750</v>
      </c>
      <c r="D55">
        <v>31</v>
      </c>
      <c r="E55">
        <v>30</v>
      </c>
      <c r="F55">
        <v>27</v>
      </c>
      <c r="G55">
        <v>227</v>
      </c>
      <c r="H55">
        <v>12</v>
      </c>
      <c r="I55">
        <v>27</v>
      </c>
      <c r="J55">
        <v>104</v>
      </c>
      <c r="K55">
        <v>26</v>
      </c>
      <c r="L55" t="s">
        <v>106</v>
      </c>
    </row>
    <row r="56" spans="1:12" x14ac:dyDescent="0.25">
      <c r="A56" t="s">
        <v>123</v>
      </c>
      <c r="B56">
        <v>577</v>
      </c>
      <c r="C56">
        <v>7677</v>
      </c>
      <c r="D56">
        <v>28</v>
      </c>
      <c r="E56">
        <v>26</v>
      </c>
      <c r="F56">
        <v>23</v>
      </c>
      <c r="G56">
        <v>218</v>
      </c>
      <c r="H56">
        <v>15</v>
      </c>
      <c r="I56">
        <v>22</v>
      </c>
      <c r="J56">
        <v>93</v>
      </c>
      <c r="K56">
        <v>25</v>
      </c>
      <c r="L56" t="s">
        <v>106</v>
      </c>
    </row>
    <row r="57" spans="1:12" x14ac:dyDescent="0.25">
      <c r="A57" t="s">
        <v>134</v>
      </c>
      <c r="B57">
        <v>516</v>
      </c>
      <c r="C57">
        <v>7233</v>
      </c>
      <c r="D57">
        <v>29</v>
      </c>
      <c r="E57">
        <v>27</v>
      </c>
      <c r="F57">
        <v>24</v>
      </c>
      <c r="G57">
        <v>220</v>
      </c>
      <c r="H57">
        <v>13</v>
      </c>
      <c r="I57">
        <v>24</v>
      </c>
      <c r="J57">
        <v>91</v>
      </c>
      <c r="K57">
        <v>25</v>
      </c>
      <c r="L57" t="s">
        <v>106</v>
      </c>
    </row>
    <row r="58" spans="1:12" x14ac:dyDescent="0.25">
      <c r="A58" t="s">
        <v>137</v>
      </c>
      <c r="B58">
        <v>508</v>
      </c>
      <c r="C58">
        <v>7676</v>
      </c>
      <c r="D58">
        <v>28</v>
      </c>
      <c r="E58">
        <v>22</v>
      </c>
      <c r="F58">
        <v>19</v>
      </c>
      <c r="G58">
        <v>184</v>
      </c>
      <c r="H58">
        <v>12</v>
      </c>
      <c r="I58">
        <v>24</v>
      </c>
      <c r="J58">
        <v>84</v>
      </c>
      <c r="K58">
        <v>23</v>
      </c>
      <c r="L58" t="s">
        <v>106</v>
      </c>
    </row>
    <row r="59" spans="1:12" x14ac:dyDescent="0.25">
      <c r="A59" t="s">
        <v>141</v>
      </c>
      <c r="B59">
        <v>596</v>
      </c>
      <c r="C59">
        <v>7535</v>
      </c>
      <c r="D59">
        <v>32</v>
      </c>
      <c r="E59">
        <v>26</v>
      </c>
      <c r="F59">
        <v>26</v>
      </c>
      <c r="G59">
        <v>225</v>
      </c>
      <c r="H59">
        <v>11</v>
      </c>
      <c r="I59">
        <v>24</v>
      </c>
      <c r="J59">
        <v>95</v>
      </c>
      <c r="K59">
        <v>28</v>
      </c>
      <c r="L59" t="s">
        <v>106</v>
      </c>
    </row>
    <row r="60" spans="1:12" x14ac:dyDescent="0.25">
      <c r="A60" t="s">
        <v>144</v>
      </c>
      <c r="B60">
        <v>483</v>
      </c>
      <c r="C60">
        <v>6053</v>
      </c>
      <c r="D60">
        <v>21</v>
      </c>
      <c r="E60">
        <v>18</v>
      </c>
      <c r="F60">
        <v>23</v>
      </c>
      <c r="G60">
        <v>180</v>
      </c>
      <c r="H60">
        <v>12</v>
      </c>
      <c r="I60">
        <v>20</v>
      </c>
      <c r="J60">
        <v>87</v>
      </c>
      <c r="K60">
        <v>21</v>
      </c>
      <c r="L60" t="s">
        <v>106</v>
      </c>
    </row>
    <row r="61" spans="1:12" x14ac:dyDescent="0.25">
      <c r="A61" t="s">
        <v>153</v>
      </c>
      <c r="B61">
        <v>335</v>
      </c>
      <c r="C61">
        <v>7449</v>
      </c>
      <c r="D61">
        <v>43</v>
      </c>
      <c r="E61">
        <v>29</v>
      </c>
      <c r="F61">
        <v>17</v>
      </c>
      <c r="G61">
        <v>150</v>
      </c>
      <c r="H61">
        <v>26</v>
      </c>
      <c r="I61">
        <v>27</v>
      </c>
      <c r="J61">
        <v>126</v>
      </c>
      <c r="K61">
        <v>16</v>
      </c>
      <c r="L61" t="s">
        <v>106</v>
      </c>
    </row>
    <row r="62" spans="1:12" x14ac:dyDescent="0.25">
      <c r="A62" t="s">
        <v>154</v>
      </c>
      <c r="B62" s="3">
        <f>AVERAGE(B50:B61)</f>
        <v>493.91666666666669</v>
      </c>
      <c r="C62" s="3">
        <f t="shared" ref="C62:K62" si="0">AVERAGE(C50:C61)</f>
        <v>6920.083333333333</v>
      </c>
      <c r="D62" s="3">
        <f t="shared" si="0"/>
        <v>30.5</v>
      </c>
      <c r="E62" s="3">
        <f t="shared" si="0"/>
        <v>24.166666666666668</v>
      </c>
      <c r="F62" s="3">
        <f t="shared" si="0"/>
        <v>20.583333333333332</v>
      </c>
      <c r="G62" s="3">
        <f t="shared" si="0"/>
        <v>183.66666666666666</v>
      </c>
      <c r="H62" s="3">
        <f t="shared" si="0"/>
        <v>18.833333333333332</v>
      </c>
      <c r="I62" s="3">
        <f t="shared" si="0"/>
        <v>24.5</v>
      </c>
      <c r="J62" s="3">
        <f t="shared" si="0"/>
        <v>97.5</v>
      </c>
      <c r="K62" s="3">
        <f t="shared" si="0"/>
        <v>24.083333333333332</v>
      </c>
    </row>
    <row r="63" spans="1:12" x14ac:dyDescent="0.25">
      <c r="A63" t="s">
        <v>155</v>
      </c>
      <c r="B63">
        <f>MAX(B50:B62)</f>
        <v>633</v>
      </c>
      <c r="C63">
        <f t="shared" ref="C63:K63" si="1">MAX(C50:C62)</f>
        <v>7750</v>
      </c>
      <c r="D63">
        <f t="shared" si="1"/>
        <v>43</v>
      </c>
      <c r="E63">
        <f t="shared" si="1"/>
        <v>30</v>
      </c>
      <c r="F63">
        <f t="shared" si="1"/>
        <v>27</v>
      </c>
      <c r="G63">
        <f t="shared" si="1"/>
        <v>227</v>
      </c>
      <c r="H63">
        <f t="shared" si="1"/>
        <v>39</v>
      </c>
      <c r="I63">
        <f t="shared" si="1"/>
        <v>28</v>
      </c>
      <c r="J63">
        <f t="shared" si="1"/>
        <v>126</v>
      </c>
      <c r="K63">
        <f t="shared" si="1"/>
        <v>33</v>
      </c>
    </row>
    <row r="64" spans="1:12" x14ac:dyDescent="0.25">
      <c r="A64" t="s">
        <v>156</v>
      </c>
      <c r="B64">
        <f>MIN(B50:B61)</f>
        <v>284</v>
      </c>
      <c r="C64">
        <f t="shared" ref="C64:K64" si="2">MIN(C50:C61)</f>
        <v>5127</v>
      </c>
      <c r="D64">
        <f t="shared" si="2"/>
        <v>18</v>
      </c>
      <c r="E64">
        <f t="shared" si="2"/>
        <v>13</v>
      </c>
      <c r="F64">
        <f t="shared" si="2"/>
        <v>14</v>
      </c>
      <c r="G64">
        <f t="shared" si="2"/>
        <v>126</v>
      </c>
      <c r="H64">
        <f t="shared" si="2"/>
        <v>10</v>
      </c>
      <c r="I64">
        <f t="shared" si="2"/>
        <v>20</v>
      </c>
      <c r="J64">
        <f t="shared" si="2"/>
        <v>81</v>
      </c>
      <c r="K64">
        <f t="shared" si="2"/>
        <v>16</v>
      </c>
    </row>
    <row r="67" spans="1:12" x14ac:dyDescent="0.25">
      <c r="A67" t="s">
        <v>109</v>
      </c>
      <c r="B67" t="s">
        <v>96</v>
      </c>
      <c r="C67" t="s">
        <v>97</v>
      </c>
      <c r="D67" t="s">
        <v>98</v>
      </c>
      <c r="E67" t="s">
        <v>99</v>
      </c>
      <c r="F67" t="s">
        <v>100</v>
      </c>
      <c r="G67" t="s">
        <v>101</v>
      </c>
      <c r="H67" t="s">
        <v>102</v>
      </c>
      <c r="I67" t="s">
        <v>105</v>
      </c>
      <c r="J67" t="s">
        <v>103</v>
      </c>
      <c r="K67" t="s">
        <v>104</v>
      </c>
      <c r="L67" t="s">
        <v>27</v>
      </c>
    </row>
    <row r="68" spans="1:12" x14ac:dyDescent="0.25">
      <c r="A68" t="s">
        <v>112</v>
      </c>
      <c r="B68">
        <v>422</v>
      </c>
      <c r="C68">
        <v>20532</v>
      </c>
      <c r="D68">
        <v>159</v>
      </c>
      <c r="E68">
        <v>22</v>
      </c>
      <c r="F68">
        <v>24</v>
      </c>
      <c r="G68">
        <v>213</v>
      </c>
      <c r="H68">
        <v>0</v>
      </c>
      <c r="I68">
        <v>132</v>
      </c>
      <c r="J68">
        <v>1142</v>
      </c>
      <c r="K68">
        <v>69</v>
      </c>
      <c r="L68" t="s">
        <v>107</v>
      </c>
    </row>
    <row r="69" spans="1:12" x14ac:dyDescent="0.25">
      <c r="A69" t="s">
        <v>116</v>
      </c>
      <c r="B69">
        <v>572</v>
      </c>
      <c r="C69">
        <v>30870</v>
      </c>
      <c r="D69">
        <v>198</v>
      </c>
      <c r="E69">
        <v>26</v>
      </c>
      <c r="F69">
        <v>29</v>
      </c>
      <c r="G69">
        <v>242</v>
      </c>
      <c r="H69">
        <v>0</v>
      </c>
      <c r="I69">
        <v>142</v>
      </c>
      <c r="J69">
        <v>1186</v>
      </c>
      <c r="K69">
        <v>63</v>
      </c>
      <c r="L69" t="s">
        <v>107</v>
      </c>
    </row>
    <row r="70" spans="1:12" x14ac:dyDescent="0.25">
      <c r="A70" t="s">
        <v>117</v>
      </c>
      <c r="B70">
        <v>697</v>
      </c>
      <c r="C70">
        <v>30474</v>
      </c>
      <c r="D70">
        <v>189</v>
      </c>
      <c r="E70">
        <v>24</v>
      </c>
      <c r="F70">
        <v>31</v>
      </c>
      <c r="G70">
        <v>230</v>
      </c>
      <c r="H70">
        <v>1</v>
      </c>
      <c r="I70">
        <v>142</v>
      </c>
      <c r="J70">
        <v>1170</v>
      </c>
      <c r="K70">
        <v>62</v>
      </c>
      <c r="L70" t="s">
        <v>107</v>
      </c>
    </row>
    <row r="71" spans="1:12" x14ac:dyDescent="0.25">
      <c r="A71" t="s">
        <v>124</v>
      </c>
      <c r="B71">
        <v>472</v>
      </c>
      <c r="C71">
        <v>24251</v>
      </c>
      <c r="D71">
        <v>189</v>
      </c>
      <c r="E71">
        <v>29</v>
      </c>
      <c r="F71">
        <v>27</v>
      </c>
      <c r="G71">
        <v>244</v>
      </c>
      <c r="H71">
        <v>0</v>
      </c>
      <c r="I71">
        <v>142</v>
      </c>
      <c r="J71">
        <v>1252</v>
      </c>
      <c r="K71">
        <v>77</v>
      </c>
      <c r="L71" t="s">
        <v>107</v>
      </c>
    </row>
    <row r="72" spans="1:12" x14ac:dyDescent="0.25">
      <c r="A72" t="s">
        <v>125</v>
      </c>
      <c r="B72">
        <v>577</v>
      </c>
      <c r="C72">
        <v>26804</v>
      </c>
      <c r="D72">
        <v>186</v>
      </c>
      <c r="E72">
        <v>26</v>
      </c>
      <c r="F72">
        <v>28</v>
      </c>
      <c r="G72">
        <v>207</v>
      </c>
      <c r="H72">
        <v>3</v>
      </c>
      <c r="I72">
        <v>125</v>
      </c>
      <c r="J72">
        <v>1048</v>
      </c>
      <c r="K72">
        <v>55</v>
      </c>
      <c r="L72" t="s">
        <v>107</v>
      </c>
    </row>
    <row r="73" spans="1:12" x14ac:dyDescent="0.25">
      <c r="A73" t="s">
        <v>126</v>
      </c>
      <c r="B73">
        <v>631</v>
      </c>
      <c r="C73">
        <v>31016</v>
      </c>
      <c r="D73">
        <v>164</v>
      </c>
      <c r="E73">
        <v>28</v>
      </c>
      <c r="F73">
        <v>29</v>
      </c>
      <c r="G73">
        <v>246</v>
      </c>
      <c r="H73">
        <v>1</v>
      </c>
      <c r="I73">
        <v>133</v>
      </c>
      <c r="J73">
        <v>1107</v>
      </c>
      <c r="K73">
        <v>59</v>
      </c>
      <c r="L73" t="s">
        <v>107</v>
      </c>
    </row>
    <row r="74" spans="1:12" x14ac:dyDescent="0.25">
      <c r="A74" t="s">
        <v>129</v>
      </c>
      <c r="B74">
        <v>576</v>
      </c>
      <c r="C74">
        <v>30059</v>
      </c>
      <c r="D74">
        <v>189</v>
      </c>
      <c r="E74">
        <v>25</v>
      </c>
      <c r="F74">
        <v>29</v>
      </c>
      <c r="G74">
        <v>232</v>
      </c>
      <c r="H74">
        <v>1</v>
      </c>
      <c r="I74">
        <v>135</v>
      </c>
      <c r="J74">
        <v>1159</v>
      </c>
      <c r="K74">
        <v>63</v>
      </c>
      <c r="L74" t="s">
        <v>107</v>
      </c>
    </row>
    <row r="75" spans="1:12" x14ac:dyDescent="0.25">
      <c r="A75" t="s">
        <v>131</v>
      </c>
      <c r="B75">
        <v>396</v>
      </c>
      <c r="C75">
        <v>28461</v>
      </c>
      <c r="D75">
        <v>231</v>
      </c>
      <c r="E75">
        <v>33</v>
      </c>
      <c r="F75">
        <v>38</v>
      </c>
      <c r="G75">
        <v>313</v>
      </c>
      <c r="H75">
        <v>0</v>
      </c>
      <c r="I75">
        <v>162</v>
      </c>
      <c r="J75">
        <v>1364</v>
      </c>
      <c r="K75">
        <v>76</v>
      </c>
      <c r="L75" t="s">
        <v>107</v>
      </c>
    </row>
    <row r="76" spans="1:12" x14ac:dyDescent="0.25">
      <c r="A76" t="s">
        <v>138</v>
      </c>
      <c r="B76">
        <v>461</v>
      </c>
      <c r="C76">
        <v>20749</v>
      </c>
      <c r="D76">
        <v>167</v>
      </c>
      <c r="E76">
        <v>24</v>
      </c>
      <c r="F76">
        <v>28</v>
      </c>
      <c r="G76">
        <v>218</v>
      </c>
      <c r="H76">
        <v>0</v>
      </c>
      <c r="I76">
        <v>130</v>
      </c>
      <c r="J76">
        <v>1175</v>
      </c>
      <c r="K76">
        <v>71</v>
      </c>
      <c r="L76" t="s">
        <v>107</v>
      </c>
    </row>
    <row r="77" spans="1:12" x14ac:dyDescent="0.25">
      <c r="A77" t="s">
        <v>143</v>
      </c>
      <c r="B77">
        <v>516</v>
      </c>
      <c r="C77">
        <v>28731</v>
      </c>
      <c r="D77">
        <v>244</v>
      </c>
      <c r="E77">
        <v>35</v>
      </c>
      <c r="F77">
        <v>40</v>
      </c>
      <c r="G77">
        <v>317</v>
      </c>
      <c r="H77">
        <v>0</v>
      </c>
      <c r="I77">
        <v>163</v>
      </c>
      <c r="J77">
        <v>1398</v>
      </c>
      <c r="K77">
        <v>79</v>
      </c>
      <c r="L77" t="s">
        <v>107</v>
      </c>
    </row>
    <row r="78" spans="1:12" x14ac:dyDescent="0.25">
      <c r="A78" t="s">
        <v>145</v>
      </c>
      <c r="B78">
        <v>561</v>
      </c>
      <c r="C78">
        <v>32363</v>
      </c>
      <c r="D78">
        <v>194</v>
      </c>
      <c r="E78">
        <v>29</v>
      </c>
      <c r="F78">
        <v>26</v>
      </c>
      <c r="G78">
        <v>228</v>
      </c>
      <c r="H78">
        <v>0</v>
      </c>
      <c r="I78">
        <v>130</v>
      </c>
      <c r="J78">
        <v>1173</v>
      </c>
      <c r="K78">
        <v>60</v>
      </c>
      <c r="L78" t="s">
        <v>107</v>
      </c>
    </row>
    <row r="79" spans="1:12" x14ac:dyDescent="0.25">
      <c r="A79" t="s">
        <v>146</v>
      </c>
      <c r="B79">
        <v>840</v>
      </c>
      <c r="C79">
        <v>43192</v>
      </c>
      <c r="D79">
        <v>307</v>
      </c>
      <c r="E79">
        <v>42</v>
      </c>
      <c r="F79">
        <v>43</v>
      </c>
      <c r="G79">
        <v>318</v>
      </c>
      <c r="H79">
        <v>2</v>
      </c>
      <c r="I79">
        <v>180</v>
      </c>
      <c r="J79">
        <v>1456</v>
      </c>
      <c r="K79">
        <v>75</v>
      </c>
      <c r="L79" t="s">
        <v>107</v>
      </c>
    </row>
    <row r="80" spans="1:12" x14ac:dyDescent="0.25">
      <c r="A80" t="s">
        <v>147</v>
      </c>
      <c r="B80">
        <v>642</v>
      </c>
      <c r="C80">
        <v>31931</v>
      </c>
      <c r="D80">
        <v>176</v>
      </c>
      <c r="E80">
        <v>28</v>
      </c>
      <c r="F80">
        <v>33</v>
      </c>
      <c r="G80">
        <v>224</v>
      </c>
      <c r="H80">
        <v>2</v>
      </c>
      <c r="I80">
        <v>137</v>
      </c>
      <c r="J80">
        <v>1199</v>
      </c>
      <c r="K80">
        <v>60</v>
      </c>
      <c r="L80" t="s">
        <v>107</v>
      </c>
    </row>
    <row r="81" spans="1:12" x14ac:dyDescent="0.25">
      <c r="A81" t="s">
        <v>151</v>
      </c>
      <c r="B81">
        <v>451</v>
      </c>
      <c r="C81">
        <v>21235</v>
      </c>
      <c r="D81">
        <v>152</v>
      </c>
      <c r="E81">
        <v>25</v>
      </c>
      <c r="F81">
        <v>28</v>
      </c>
      <c r="G81">
        <v>225</v>
      </c>
      <c r="H81">
        <v>0</v>
      </c>
      <c r="I81">
        <v>131</v>
      </c>
      <c r="J81">
        <v>1179</v>
      </c>
      <c r="K81">
        <v>73</v>
      </c>
      <c r="L81" t="s">
        <v>107</v>
      </c>
    </row>
    <row r="82" spans="1:12" x14ac:dyDescent="0.25">
      <c r="A82" t="s">
        <v>152</v>
      </c>
      <c r="B82">
        <v>519</v>
      </c>
      <c r="C82">
        <v>25929</v>
      </c>
      <c r="D82">
        <v>209</v>
      </c>
      <c r="E82">
        <v>35</v>
      </c>
      <c r="F82">
        <v>32</v>
      </c>
      <c r="G82">
        <v>266</v>
      </c>
      <c r="H82">
        <v>1</v>
      </c>
      <c r="I82">
        <v>152</v>
      </c>
      <c r="J82">
        <v>1366</v>
      </c>
      <c r="K82">
        <v>82</v>
      </c>
      <c r="L82" t="s">
        <v>107</v>
      </c>
    </row>
    <row r="83" spans="1:12" x14ac:dyDescent="0.25">
      <c r="A83" t="s">
        <v>154</v>
      </c>
      <c r="B83" s="3">
        <f>AVERAGE(B68:B82)</f>
        <v>555.5333333333333</v>
      </c>
      <c r="C83" s="3">
        <f t="shared" ref="C83:K83" si="3">AVERAGE(C68:C82)</f>
        <v>28439.8</v>
      </c>
      <c r="D83" s="3">
        <f t="shared" si="3"/>
        <v>196.93333333333334</v>
      </c>
      <c r="E83" s="3">
        <f t="shared" si="3"/>
        <v>28.733333333333334</v>
      </c>
      <c r="F83" s="3">
        <f t="shared" si="3"/>
        <v>31</v>
      </c>
      <c r="G83" s="3">
        <f t="shared" si="3"/>
        <v>248.2</v>
      </c>
      <c r="H83" s="3">
        <f t="shared" si="3"/>
        <v>0.73333333333333328</v>
      </c>
      <c r="I83" s="3">
        <f t="shared" si="3"/>
        <v>142.4</v>
      </c>
      <c r="J83" s="3">
        <f t="shared" si="3"/>
        <v>1224.9333333333334</v>
      </c>
      <c r="K83" s="3">
        <f t="shared" si="3"/>
        <v>68.266666666666666</v>
      </c>
    </row>
    <row r="84" spans="1:12" x14ac:dyDescent="0.25">
      <c r="A84" t="s">
        <v>155</v>
      </c>
      <c r="B84">
        <f>MAX(B68:B83)</f>
        <v>840</v>
      </c>
      <c r="C84">
        <f t="shared" ref="C84:K84" si="4">MAX(C68:C83)</f>
        <v>43192</v>
      </c>
      <c r="D84">
        <f t="shared" si="4"/>
        <v>307</v>
      </c>
      <c r="E84">
        <f t="shared" si="4"/>
        <v>42</v>
      </c>
      <c r="F84">
        <f t="shared" si="4"/>
        <v>43</v>
      </c>
      <c r="G84">
        <f t="shared" si="4"/>
        <v>318</v>
      </c>
      <c r="H84">
        <f t="shared" si="4"/>
        <v>3</v>
      </c>
      <c r="I84">
        <f t="shared" si="4"/>
        <v>180</v>
      </c>
      <c r="J84">
        <f t="shared" si="4"/>
        <v>1456</v>
      </c>
      <c r="K84">
        <f t="shared" si="4"/>
        <v>82</v>
      </c>
    </row>
    <row r="85" spans="1:12" x14ac:dyDescent="0.25">
      <c r="A85" t="s">
        <v>156</v>
      </c>
      <c r="B85">
        <f>MIN(B68:B82)</f>
        <v>396</v>
      </c>
      <c r="C85">
        <f t="shared" ref="C85:K85" si="5">MIN(C68:C82)</f>
        <v>20532</v>
      </c>
      <c r="D85">
        <f t="shared" si="5"/>
        <v>152</v>
      </c>
      <c r="E85">
        <f t="shared" si="5"/>
        <v>22</v>
      </c>
      <c r="F85">
        <f t="shared" si="5"/>
        <v>24</v>
      </c>
      <c r="G85">
        <f t="shared" si="5"/>
        <v>207</v>
      </c>
      <c r="H85">
        <f t="shared" si="5"/>
        <v>0</v>
      </c>
      <c r="I85">
        <f t="shared" si="5"/>
        <v>125</v>
      </c>
      <c r="J85">
        <f t="shared" si="5"/>
        <v>1048</v>
      </c>
      <c r="K85">
        <f t="shared" si="5"/>
        <v>55</v>
      </c>
    </row>
    <row r="86" spans="1:12" x14ac:dyDescent="0.25">
      <c r="A86" t="s">
        <v>157</v>
      </c>
    </row>
    <row r="88" spans="1:12" x14ac:dyDescent="0.25">
      <c r="A88" t="s">
        <v>109</v>
      </c>
      <c r="B88" t="s">
        <v>96</v>
      </c>
      <c r="C88" t="s">
        <v>97</v>
      </c>
      <c r="D88" t="s">
        <v>98</v>
      </c>
      <c r="E88" t="s">
        <v>99</v>
      </c>
      <c r="F88" t="s">
        <v>100</v>
      </c>
      <c r="G88" t="s">
        <v>101</v>
      </c>
      <c r="H88" t="s">
        <v>102</v>
      </c>
      <c r="I88" t="s">
        <v>105</v>
      </c>
      <c r="J88" t="s">
        <v>103</v>
      </c>
      <c r="K88" t="s">
        <v>104</v>
      </c>
      <c r="L88" t="s">
        <v>27</v>
      </c>
    </row>
    <row r="89" spans="1:12" x14ac:dyDescent="0.25">
      <c r="A89" t="s">
        <v>115</v>
      </c>
      <c r="B89">
        <v>328</v>
      </c>
      <c r="C89">
        <v>15971</v>
      </c>
      <c r="D89">
        <v>41</v>
      </c>
      <c r="E89">
        <v>30</v>
      </c>
      <c r="F89">
        <v>30</v>
      </c>
      <c r="G89">
        <v>258</v>
      </c>
      <c r="H89">
        <v>48</v>
      </c>
      <c r="I89">
        <v>34</v>
      </c>
      <c r="J89">
        <v>347</v>
      </c>
      <c r="K89">
        <v>21</v>
      </c>
      <c r="L89" t="s">
        <v>108</v>
      </c>
    </row>
    <row r="90" spans="1:12" x14ac:dyDescent="0.25">
      <c r="A90" t="s">
        <v>118</v>
      </c>
      <c r="B90">
        <v>384</v>
      </c>
      <c r="C90">
        <v>16233</v>
      </c>
      <c r="D90">
        <v>61</v>
      </c>
      <c r="E90">
        <v>29</v>
      </c>
      <c r="F90">
        <v>30</v>
      </c>
      <c r="G90">
        <v>253</v>
      </c>
      <c r="H90">
        <v>50</v>
      </c>
      <c r="I90">
        <v>34</v>
      </c>
      <c r="J90">
        <v>332</v>
      </c>
      <c r="K90">
        <v>20</v>
      </c>
      <c r="L90" t="s">
        <v>108</v>
      </c>
    </row>
    <row r="91" spans="1:12" x14ac:dyDescent="0.25">
      <c r="A91" t="s">
        <v>119</v>
      </c>
      <c r="B91">
        <v>338</v>
      </c>
      <c r="C91">
        <v>12723</v>
      </c>
      <c r="D91">
        <v>38</v>
      </c>
      <c r="E91">
        <v>19</v>
      </c>
      <c r="F91">
        <v>29</v>
      </c>
      <c r="G91">
        <v>220</v>
      </c>
      <c r="H91">
        <v>44</v>
      </c>
      <c r="I91">
        <v>32</v>
      </c>
      <c r="J91">
        <v>300</v>
      </c>
      <c r="K91">
        <v>17</v>
      </c>
      <c r="L91" t="s">
        <v>108</v>
      </c>
    </row>
    <row r="92" spans="1:12" x14ac:dyDescent="0.25">
      <c r="A92" t="s">
        <v>122</v>
      </c>
      <c r="B92">
        <v>421</v>
      </c>
      <c r="C92">
        <v>16700</v>
      </c>
      <c r="D92">
        <v>63</v>
      </c>
      <c r="E92">
        <v>32</v>
      </c>
      <c r="F92">
        <v>35</v>
      </c>
      <c r="G92">
        <v>268</v>
      </c>
      <c r="H92">
        <v>49</v>
      </c>
      <c r="I92">
        <v>35</v>
      </c>
      <c r="J92">
        <v>345</v>
      </c>
      <c r="K92">
        <v>21</v>
      </c>
      <c r="L92" t="s">
        <v>108</v>
      </c>
    </row>
    <row r="93" spans="1:12" x14ac:dyDescent="0.25">
      <c r="A93" t="s">
        <v>127</v>
      </c>
      <c r="B93">
        <v>395</v>
      </c>
      <c r="C93">
        <v>16005</v>
      </c>
      <c r="D93">
        <v>46</v>
      </c>
      <c r="E93">
        <v>32</v>
      </c>
      <c r="F93">
        <v>33</v>
      </c>
      <c r="G93">
        <v>264</v>
      </c>
      <c r="H93">
        <v>52</v>
      </c>
      <c r="I93">
        <v>39</v>
      </c>
      <c r="J93">
        <v>351</v>
      </c>
      <c r="K93">
        <v>21</v>
      </c>
      <c r="L93" t="s">
        <v>108</v>
      </c>
    </row>
    <row r="94" spans="1:12" x14ac:dyDescent="0.25">
      <c r="A94" t="s">
        <v>128</v>
      </c>
      <c r="B94">
        <v>366</v>
      </c>
      <c r="C94">
        <v>13788</v>
      </c>
      <c r="D94">
        <v>37</v>
      </c>
      <c r="E94">
        <v>21</v>
      </c>
      <c r="F94">
        <v>29</v>
      </c>
      <c r="G94">
        <v>235</v>
      </c>
      <c r="H94">
        <v>40</v>
      </c>
      <c r="I94">
        <v>32</v>
      </c>
      <c r="J94">
        <v>316</v>
      </c>
      <c r="K94">
        <v>20</v>
      </c>
      <c r="L94" t="s">
        <v>108</v>
      </c>
    </row>
    <row r="95" spans="1:12" x14ac:dyDescent="0.25">
      <c r="A95" t="s">
        <v>130</v>
      </c>
      <c r="B95">
        <v>325</v>
      </c>
      <c r="C95">
        <v>13567</v>
      </c>
      <c r="D95">
        <v>39</v>
      </c>
      <c r="E95">
        <v>22</v>
      </c>
      <c r="F95">
        <v>28</v>
      </c>
      <c r="G95">
        <v>234</v>
      </c>
      <c r="H95">
        <v>42</v>
      </c>
      <c r="I95">
        <v>33</v>
      </c>
      <c r="J95">
        <v>308</v>
      </c>
      <c r="K95">
        <v>17</v>
      </c>
      <c r="L95" t="s">
        <v>108</v>
      </c>
    </row>
    <row r="96" spans="1:12" x14ac:dyDescent="0.25">
      <c r="A96" t="s">
        <v>132</v>
      </c>
      <c r="B96">
        <v>370</v>
      </c>
      <c r="C96">
        <v>14548</v>
      </c>
      <c r="D96">
        <v>36</v>
      </c>
      <c r="E96">
        <v>26</v>
      </c>
      <c r="F96">
        <v>28</v>
      </c>
      <c r="G96">
        <v>241</v>
      </c>
      <c r="H96">
        <v>46</v>
      </c>
      <c r="I96">
        <v>33</v>
      </c>
      <c r="J96">
        <v>326</v>
      </c>
      <c r="K96">
        <v>19</v>
      </c>
      <c r="L96" t="s">
        <v>108</v>
      </c>
    </row>
    <row r="97" spans="1:12" x14ac:dyDescent="0.25">
      <c r="A97" t="s">
        <v>133</v>
      </c>
      <c r="B97">
        <v>307</v>
      </c>
      <c r="C97">
        <v>13915</v>
      </c>
      <c r="D97">
        <v>48</v>
      </c>
      <c r="E97">
        <v>22</v>
      </c>
      <c r="F97">
        <v>25</v>
      </c>
      <c r="G97">
        <v>230</v>
      </c>
      <c r="H97">
        <v>45</v>
      </c>
      <c r="I97">
        <v>33</v>
      </c>
      <c r="J97">
        <v>313</v>
      </c>
      <c r="K97">
        <v>19</v>
      </c>
      <c r="L97" t="s">
        <v>108</v>
      </c>
    </row>
    <row r="98" spans="1:12" x14ac:dyDescent="0.25">
      <c r="A98" t="s">
        <v>135</v>
      </c>
      <c r="B98">
        <v>296</v>
      </c>
      <c r="C98">
        <v>14853</v>
      </c>
      <c r="D98">
        <v>44</v>
      </c>
      <c r="E98">
        <v>28</v>
      </c>
      <c r="F98">
        <v>28</v>
      </c>
      <c r="G98">
        <v>238</v>
      </c>
      <c r="H98">
        <v>46</v>
      </c>
      <c r="I98">
        <v>34</v>
      </c>
      <c r="J98">
        <v>326</v>
      </c>
      <c r="K98">
        <v>20</v>
      </c>
      <c r="L98" t="s">
        <v>108</v>
      </c>
    </row>
    <row r="99" spans="1:12" x14ac:dyDescent="0.25">
      <c r="A99" t="s">
        <v>136</v>
      </c>
      <c r="B99">
        <v>311</v>
      </c>
      <c r="C99">
        <v>13614</v>
      </c>
      <c r="D99">
        <v>40</v>
      </c>
      <c r="E99">
        <v>21</v>
      </c>
      <c r="F99">
        <v>25</v>
      </c>
      <c r="G99">
        <v>229</v>
      </c>
      <c r="H99">
        <v>47</v>
      </c>
      <c r="I99">
        <v>32</v>
      </c>
      <c r="J99">
        <v>308</v>
      </c>
      <c r="K99">
        <v>18</v>
      </c>
      <c r="L99" t="s">
        <v>108</v>
      </c>
    </row>
    <row r="100" spans="1:12" x14ac:dyDescent="0.25">
      <c r="A100" t="s">
        <v>139</v>
      </c>
      <c r="B100">
        <v>276</v>
      </c>
      <c r="C100">
        <v>12381</v>
      </c>
      <c r="D100">
        <v>36</v>
      </c>
      <c r="E100">
        <v>23</v>
      </c>
      <c r="F100">
        <v>26</v>
      </c>
      <c r="G100">
        <v>219</v>
      </c>
      <c r="H100">
        <v>39</v>
      </c>
      <c r="I100">
        <v>31</v>
      </c>
      <c r="J100">
        <v>301</v>
      </c>
      <c r="K100">
        <v>16</v>
      </c>
      <c r="L100" t="s">
        <v>108</v>
      </c>
    </row>
    <row r="101" spans="1:12" x14ac:dyDescent="0.25">
      <c r="A101" t="s">
        <v>140</v>
      </c>
      <c r="B101">
        <v>324</v>
      </c>
      <c r="C101">
        <v>16623</v>
      </c>
      <c r="D101">
        <v>52</v>
      </c>
      <c r="E101">
        <v>32</v>
      </c>
      <c r="F101">
        <v>27</v>
      </c>
      <c r="G101">
        <v>270</v>
      </c>
      <c r="H101">
        <v>52</v>
      </c>
      <c r="I101">
        <v>34</v>
      </c>
      <c r="J101">
        <v>343</v>
      </c>
      <c r="K101">
        <v>22</v>
      </c>
      <c r="L101" t="s">
        <v>108</v>
      </c>
    </row>
    <row r="102" spans="1:12" x14ac:dyDescent="0.25">
      <c r="A102" t="s">
        <v>142</v>
      </c>
      <c r="B102">
        <v>346</v>
      </c>
      <c r="C102">
        <v>15872</v>
      </c>
      <c r="D102">
        <v>48</v>
      </c>
      <c r="E102">
        <v>29</v>
      </c>
      <c r="F102">
        <v>28</v>
      </c>
      <c r="G102">
        <v>244</v>
      </c>
      <c r="H102">
        <v>47</v>
      </c>
      <c r="I102">
        <v>36</v>
      </c>
      <c r="J102">
        <v>329</v>
      </c>
      <c r="K102">
        <v>20</v>
      </c>
      <c r="L102" t="s">
        <v>108</v>
      </c>
    </row>
    <row r="103" spans="1:12" x14ac:dyDescent="0.25">
      <c r="A103" t="s">
        <v>148</v>
      </c>
      <c r="B103">
        <v>364</v>
      </c>
      <c r="C103">
        <v>17371</v>
      </c>
      <c r="D103">
        <v>59</v>
      </c>
      <c r="E103">
        <v>31</v>
      </c>
      <c r="F103">
        <v>31</v>
      </c>
      <c r="G103">
        <v>270</v>
      </c>
      <c r="H103">
        <v>51</v>
      </c>
      <c r="I103">
        <v>35</v>
      </c>
      <c r="J103">
        <v>352</v>
      </c>
      <c r="K103">
        <v>23</v>
      </c>
      <c r="L103" t="s">
        <v>108</v>
      </c>
    </row>
    <row r="104" spans="1:12" x14ac:dyDescent="0.25">
      <c r="A104" t="s">
        <v>149</v>
      </c>
      <c r="B104">
        <v>443</v>
      </c>
      <c r="C104">
        <v>20062</v>
      </c>
      <c r="D104">
        <v>71</v>
      </c>
      <c r="E104">
        <v>36</v>
      </c>
      <c r="F104">
        <v>36</v>
      </c>
      <c r="G104">
        <v>309</v>
      </c>
      <c r="H104">
        <v>56</v>
      </c>
      <c r="I104">
        <v>40</v>
      </c>
      <c r="J104">
        <v>376</v>
      </c>
      <c r="K104">
        <v>24</v>
      </c>
      <c r="L104" t="s">
        <v>108</v>
      </c>
    </row>
    <row r="105" spans="1:12" x14ac:dyDescent="0.25">
      <c r="A105" t="s">
        <v>150</v>
      </c>
      <c r="B105">
        <v>439</v>
      </c>
      <c r="C105">
        <v>20337</v>
      </c>
      <c r="D105">
        <v>72</v>
      </c>
      <c r="E105">
        <v>36</v>
      </c>
      <c r="F105">
        <v>35</v>
      </c>
      <c r="G105">
        <v>303</v>
      </c>
      <c r="H105">
        <v>58</v>
      </c>
      <c r="I105">
        <v>35</v>
      </c>
      <c r="J105">
        <v>362</v>
      </c>
      <c r="K105">
        <v>23</v>
      </c>
      <c r="L105" t="s">
        <v>108</v>
      </c>
    </row>
    <row r="106" spans="1:12" x14ac:dyDescent="0.25">
      <c r="A106" t="s">
        <v>154</v>
      </c>
      <c r="B106" s="3">
        <f>AVERAGE(B89:B105)</f>
        <v>354.88235294117646</v>
      </c>
      <c r="C106" s="3">
        <f t="shared" ref="C106:K106" si="6">AVERAGE(C89:C105)</f>
        <v>15562.529411764706</v>
      </c>
      <c r="D106" s="3">
        <f t="shared" si="6"/>
        <v>48.882352941176471</v>
      </c>
      <c r="E106" s="3">
        <f t="shared" si="6"/>
        <v>27.588235294117649</v>
      </c>
      <c r="F106" s="3">
        <f t="shared" si="6"/>
        <v>29.588235294117649</v>
      </c>
      <c r="G106" s="3">
        <f t="shared" si="6"/>
        <v>252.05882352941177</v>
      </c>
      <c r="H106" s="3">
        <f t="shared" si="6"/>
        <v>47.764705882352942</v>
      </c>
      <c r="I106" s="3">
        <f t="shared" si="6"/>
        <v>34.235294117647058</v>
      </c>
      <c r="J106" s="3">
        <f t="shared" si="6"/>
        <v>331.47058823529414</v>
      </c>
      <c r="K106" s="3">
        <f t="shared" si="6"/>
        <v>20.058823529411764</v>
      </c>
    </row>
    <row r="107" spans="1:12" x14ac:dyDescent="0.25">
      <c r="A107" t="s">
        <v>155</v>
      </c>
      <c r="B107">
        <f>MAX(B89:B106)</f>
        <v>443</v>
      </c>
      <c r="C107">
        <f t="shared" ref="C107:K107" si="7">MAX(C89:C106)</f>
        <v>20337</v>
      </c>
      <c r="D107">
        <f t="shared" si="7"/>
        <v>72</v>
      </c>
      <c r="E107">
        <f t="shared" si="7"/>
        <v>36</v>
      </c>
      <c r="F107">
        <f t="shared" si="7"/>
        <v>36</v>
      </c>
      <c r="G107">
        <f t="shared" si="7"/>
        <v>309</v>
      </c>
      <c r="H107">
        <f t="shared" si="7"/>
        <v>58</v>
      </c>
      <c r="I107">
        <f t="shared" si="7"/>
        <v>40</v>
      </c>
      <c r="J107">
        <f t="shared" si="7"/>
        <v>376</v>
      </c>
      <c r="K107">
        <f t="shared" si="7"/>
        <v>24</v>
      </c>
    </row>
    <row r="108" spans="1:12" x14ac:dyDescent="0.25">
      <c r="A108" t="s">
        <v>156</v>
      </c>
      <c r="B108">
        <f>MIN(B89:B105)</f>
        <v>276</v>
      </c>
      <c r="C108">
        <f t="shared" ref="C108:K108" si="8">MIN(C89:C105)</f>
        <v>12381</v>
      </c>
      <c r="D108">
        <f t="shared" si="8"/>
        <v>36</v>
      </c>
      <c r="E108">
        <f t="shared" si="8"/>
        <v>19</v>
      </c>
      <c r="F108">
        <f t="shared" si="8"/>
        <v>25</v>
      </c>
      <c r="G108">
        <f t="shared" si="8"/>
        <v>219</v>
      </c>
      <c r="H108">
        <f t="shared" si="8"/>
        <v>39</v>
      </c>
      <c r="I108">
        <f t="shared" si="8"/>
        <v>31</v>
      </c>
      <c r="J108">
        <f t="shared" si="8"/>
        <v>300</v>
      </c>
      <c r="K108">
        <f t="shared" si="8"/>
        <v>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2"/>
  <sheetViews>
    <sheetView workbookViewId="0">
      <selection activeCell="D1" sqref="A1:D1"/>
    </sheetView>
  </sheetViews>
  <sheetFormatPr defaultRowHeight="15" x14ac:dyDescent="0.25"/>
  <cols>
    <col min="1" max="1" width="15.7109375" bestFit="1" customWidth="1"/>
    <col min="2" max="2" width="9" bestFit="1" customWidth="1"/>
    <col min="3" max="3" width="8.42578125" bestFit="1" customWidth="1"/>
    <col min="4" max="4" width="8" bestFit="1" customWidth="1"/>
    <col min="5" max="5" width="9.140625" bestFit="1" customWidth="1"/>
    <col min="6" max="6" width="16" bestFit="1" customWidth="1"/>
    <col min="7" max="8" width="11" customWidth="1"/>
    <col min="9" max="9" width="9.5703125" bestFit="1" customWidth="1"/>
    <col min="10" max="10" width="5.7109375" bestFit="1" customWidth="1"/>
    <col min="11" max="11" width="5.28515625" bestFit="1" customWidth="1"/>
    <col min="12" max="12" width="5.140625" bestFit="1" customWidth="1"/>
    <col min="13" max="13" width="4.5703125" bestFit="1" customWidth="1"/>
    <col min="14" max="14" width="4.7109375" bestFit="1" customWidth="1"/>
    <col min="15" max="15" width="4.85546875" bestFit="1" customWidth="1"/>
    <col min="16" max="16" width="5.140625" bestFit="1" customWidth="1"/>
    <col min="17" max="17" width="4.5703125" bestFit="1" customWidth="1"/>
    <col min="18" max="18" width="5.28515625" bestFit="1" customWidth="1"/>
    <col min="19" max="19" width="4.7109375" bestFit="1" customWidth="1"/>
    <col min="20" max="20" width="5.42578125" bestFit="1" customWidth="1"/>
    <col min="21" max="21" width="5" bestFit="1" customWidth="1"/>
    <col min="22" max="22" width="5.42578125" bestFit="1" customWidth="1"/>
    <col min="23" max="23" width="4.85546875" bestFit="1" customWidth="1"/>
    <col min="24" max="24" width="5.42578125" bestFit="1" customWidth="1"/>
    <col min="25" max="25" width="4.85546875" bestFit="1" customWidth="1"/>
    <col min="26" max="26" width="5.28515625" bestFit="1" customWidth="1"/>
    <col min="27" max="27" width="4.7109375" bestFit="1" customWidth="1"/>
    <col min="29" max="29" width="16.5703125" bestFit="1" customWidth="1"/>
  </cols>
  <sheetData>
    <row r="1" spans="1:38" x14ac:dyDescent="0.25">
      <c r="A1" s="2" t="s">
        <v>63</v>
      </c>
      <c r="B1" s="2" t="s">
        <v>64</v>
      </c>
      <c r="C1" s="2" t="s">
        <v>65</v>
      </c>
      <c r="D1" s="2" t="s">
        <v>66</v>
      </c>
      <c r="F1" s="2" t="s">
        <v>63</v>
      </c>
      <c r="G1" s="2" t="s">
        <v>64</v>
      </c>
      <c r="H1" s="2" t="s">
        <v>65</v>
      </c>
      <c r="I1" s="2" t="s">
        <v>66</v>
      </c>
      <c r="AC1" t="s">
        <v>34</v>
      </c>
      <c r="AD1">
        <v>859</v>
      </c>
      <c r="AE1">
        <v>439</v>
      </c>
      <c r="AF1">
        <v>6779</v>
      </c>
      <c r="AG1">
        <v>32</v>
      </c>
      <c r="AH1">
        <v>155</v>
      </c>
      <c r="AI1">
        <v>99</v>
      </c>
      <c r="AJ1">
        <v>137</v>
      </c>
      <c r="AK1">
        <v>420</v>
      </c>
      <c r="AL1">
        <v>36</v>
      </c>
    </row>
    <row r="2" spans="1:38" x14ac:dyDescent="0.25">
      <c r="A2" s="1" t="s">
        <v>12</v>
      </c>
      <c r="B2" t="s">
        <v>67</v>
      </c>
      <c r="C2" t="s">
        <v>95</v>
      </c>
      <c r="D2" t="s">
        <v>68</v>
      </c>
      <c r="F2" s="1" t="s">
        <v>12</v>
      </c>
      <c r="G2">
        <v>178</v>
      </c>
      <c r="H2">
        <v>12</v>
      </c>
      <c r="I2">
        <v>74</v>
      </c>
      <c r="AC2" t="s">
        <v>34</v>
      </c>
      <c r="AD2">
        <v>807</v>
      </c>
      <c r="AE2">
        <v>431</v>
      </c>
      <c r="AF2">
        <v>6203</v>
      </c>
      <c r="AG2">
        <v>34</v>
      </c>
      <c r="AH2">
        <v>156</v>
      </c>
      <c r="AI2">
        <v>98</v>
      </c>
      <c r="AJ2">
        <v>135</v>
      </c>
      <c r="AK2">
        <v>396</v>
      </c>
      <c r="AL2">
        <v>32</v>
      </c>
    </row>
    <row r="3" spans="1:38" x14ac:dyDescent="0.25">
      <c r="A3" s="1" t="s">
        <v>69</v>
      </c>
      <c r="B3">
        <v>178</v>
      </c>
      <c r="C3">
        <v>12</v>
      </c>
      <c r="D3">
        <v>74</v>
      </c>
      <c r="F3" s="1" t="s">
        <v>70</v>
      </c>
      <c r="G3">
        <v>152</v>
      </c>
      <c r="H3">
        <v>99</v>
      </c>
      <c r="I3">
        <v>136</v>
      </c>
      <c r="AC3" t="s">
        <v>30</v>
      </c>
      <c r="AD3">
        <v>843</v>
      </c>
      <c r="AE3">
        <v>440</v>
      </c>
      <c r="AF3">
        <v>5821</v>
      </c>
      <c r="AG3">
        <v>28</v>
      </c>
      <c r="AH3">
        <v>107</v>
      </c>
      <c r="AI3">
        <v>102</v>
      </c>
      <c r="AJ3">
        <v>105</v>
      </c>
      <c r="AK3">
        <v>405</v>
      </c>
      <c r="AL3">
        <v>18</v>
      </c>
    </row>
    <row r="4" spans="1:38" x14ac:dyDescent="0.25">
      <c r="A4" s="1" t="s">
        <v>70</v>
      </c>
      <c r="B4" t="s">
        <v>71</v>
      </c>
      <c r="C4" t="s">
        <v>72</v>
      </c>
      <c r="D4" t="s">
        <v>73</v>
      </c>
      <c r="F4" s="1" t="s">
        <v>74</v>
      </c>
      <c r="G4">
        <v>108</v>
      </c>
      <c r="H4">
        <v>100</v>
      </c>
      <c r="I4">
        <v>107</v>
      </c>
      <c r="AC4" t="s">
        <v>30</v>
      </c>
      <c r="AD4">
        <v>830</v>
      </c>
      <c r="AE4">
        <v>400</v>
      </c>
      <c r="AF4">
        <v>5672</v>
      </c>
      <c r="AG4">
        <v>26</v>
      </c>
      <c r="AH4">
        <v>112</v>
      </c>
      <c r="AI4">
        <v>97</v>
      </c>
      <c r="AJ4">
        <v>111</v>
      </c>
      <c r="AK4">
        <v>280</v>
      </c>
      <c r="AL4">
        <v>16</v>
      </c>
    </row>
    <row r="5" spans="1:38" x14ac:dyDescent="0.25">
      <c r="A5" s="1" t="s">
        <v>69</v>
      </c>
      <c r="B5">
        <v>152</v>
      </c>
      <c r="C5">
        <v>99</v>
      </c>
      <c r="D5">
        <v>136</v>
      </c>
      <c r="F5" s="1" t="s">
        <v>78</v>
      </c>
      <c r="G5">
        <v>97</v>
      </c>
      <c r="H5">
        <v>110</v>
      </c>
      <c r="I5">
        <v>114</v>
      </c>
      <c r="AC5" t="s">
        <v>30</v>
      </c>
      <c r="AD5">
        <v>954</v>
      </c>
      <c r="AE5">
        <v>446</v>
      </c>
      <c r="AF5">
        <v>5882</v>
      </c>
      <c r="AG5">
        <v>25</v>
      </c>
      <c r="AH5">
        <v>111</v>
      </c>
      <c r="AI5">
        <v>99</v>
      </c>
      <c r="AJ5">
        <v>108</v>
      </c>
      <c r="AK5">
        <v>338</v>
      </c>
      <c r="AL5">
        <v>15</v>
      </c>
    </row>
    <row r="6" spans="1:38" x14ac:dyDescent="0.25">
      <c r="A6" s="1" t="s">
        <v>74</v>
      </c>
      <c r="B6" t="s">
        <v>75</v>
      </c>
      <c r="C6" t="s">
        <v>76</v>
      </c>
      <c r="D6" t="s">
        <v>77</v>
      </c>
      <c r="F6" s="1" t="s">
        <v>82</v>
      </c>
      <c r="G6">
        <v>367</v>
      </c>
      <c r="H6">
        <v>10</v>
      </c>
      <c r="I6">
        <v>128</v>
      </c>
      <c r="AC6" t="s">
        <v>30</v>
      </c>
      <c r="AD6">
        <v>892</v>
      </c>
      <c r="AE6">
        <v>442</v>
      </c>
      <c r="AF6">
        <v>5859</v>
      </c>
      <c r="AG6">
        <v>24</v>
      </c>
      <c r="AH6">
        <v>110</v>
      </c>
      <c r="AI6">
        <v>103</v>
      </c>
      <c r="AJ6">
        <v>110</v>
      </c>
      <c r="AK6">
        <v>369</v>
      </c>
      <c r="AL6">
        <v>14</v>
      </c>
    </row>
    <row r="7" spans="1:38" x14ac:dyDescent="0.25">
      <c r="A7" s="1" t="s">
        <v>69</v>
      </c>
      <c r="B7">
        <v>108</v>
      </c>
      <c r="C7">
        <v>100</v>
      </c>
      <c r="D7">
        <v>107</v>
      </c>
      <c r="F7" s="1" t="s">
        <v>83</v>
      </c>
      <c r="G7">
        <v>121</v>
      </c>
      <c r="H7">
        <v>63</v>
      </c>
      <c r="I7">
        <v>96</v>
      </c>
      <c r="AC7" t="s">
        <v>30</v>
      </c>
      <c r="AD7">
        <v>827</v>
      </c>
      <c r="AE7">
        <v>412</v>
      </c>
      <c r="AF7">
        <v>5583</v>
      </c>
      <c r="AG7">
        <v>27</v>
      </c>
      <c r="AH7">
        <v>108</v>
      </c>
      <c r="AI7">
        <v>107</v>
      </c>
      <c r="AJ7">
        <v>107</v>
      </c>
      <c r="AK7">
        <v>322</v>
      </c>
      <c r="AL7">
        <v>16</v>
      </c>
    </row>
    <row r="8" spans="1:38" x14ac:dyDescent="0.25">
      <c r="A8" s="1" t="s">
        <v>78</v>
      </c>
      <c r="B8" t="s">
        <v>79</v>
      </c>
      <c r="C8" t="s">
        <v>80</v>
      </c>
      <c r="D8" t="s">
        <v>81</v>
      </c>
      <c r="F8" s="1" t="s">
        <v>87</v>
      </c>
      <c r="G8">
        <v>163</v>
      </c>
      <c r="H8">
        <v>72</v>
      </c>
      <c r="I8">
        <v>67</v>
      </c>
      <c r="AC8" t="s">
        <v>30</v>
      </c>
      <c r="AD8">
        <v>830</v>
      </c>
      <c r="AE8">
        <v>392</v>
      </c>
      <c r="AF8">
        <v>5460</v>
      </c>
      <c r="AG8">
        <v>24</v>
      </c>
      <c r="AH8">
        <v>103</v>
      </c>
      <c r="AI8">
        <v>98</v>
      </c>
      <c r="AJ8">
        <v>104</v>
      </c>
      <c r="AK8">
        <v>310</v>
      </c>
      <c r="AL8">
        <v>14</v>
      </c>
    </row>
    <row r="9" spans="1:38" x14ac:dyDescent="0.25">
      <c r="A9" s="1" t="s">
        <v>69</v>
      </c>
      <c r="B9">
        <v>97</v>
      </c>
      <c r="C9">
        <v>110</v>
      </c>
      <c r="D9">
        <v>114</v>
      </c>
      <c r="F9" s="1" t="s">
        <v>91</v>
      </c>
      <c r="G9">
        <v>175</v>
      </c>
      <c r="H9">
        <v>73</v>
      </c>
      <c r="I9">
        <v>127</v>
      </c>
      <c r="AC9" t="s">
        <v>30</v>
      </c>
      <c r="AD9">
        <v>874</v>
      </c>
      <c r="AE9">
        <v>417</v>
      </c>
      <c r="AF9">
        <v>5171</v>
      </c>
      <c r="AG9">
        <v>27</v>
      </c>
      <c r="AH9">
        <v>111</v>
      </c>
      <c r="AI9">
        <v>93</v>
      </c>
      <c r="AJ9">
        <v>109</v>
      </c>
      <c r="AK9">
        <v>336</v>
      </c>
      <c r="AL9">
        <v>14</v>
      </c>
    </row>
    <row r="10" spans="1:38" x14ac:dyDescent="0.25">
      <c r="A10" s="1" t="s">
        <v>82</v>
      </c>
      <c r="B10">
        <v>367</v>
      </c>
      <c r="C10">
        <v>10</v>
      </c>
      <c r="D10">
        <v>128</v>
      </c>
      <c r="AC10" t="s">
        <v>30</v>
      </c>
      <c r="AD10">
        <v>913</v>
      </c>
      <c r="AE10">
        <v>427</v>
      </c>
      <c r="AF10">
        <v>5618</v>
      </c>
      <c r="AG10">
        <v>21</v>
      </c>
      <c r="AH10">
        <v>105</v>
      </c>
      <c r="AI10">
        <v>98</v>
      </c>
      <c r="AJ10">
        <v>102</v>
      </c>
      <c r="AK10">
        <v>407</v>
      </c>
      <c r="AL10">
        <v>18</v>
      </c>
    </row>
    <row r="11" spans="1:38" x14ac:dyDescent="0.25">
      <c r="A11" s="1" t="s">
        <v>83</v>
      </c>
      <c r="B11" t="s">
        <v>84</v>
      </c>
      <c r="C11" t="s">
        <v>85</v>
      </c>
      <c r="D11" t="s">
        <v>86</v>
      </c>
      <c r="AC11" t="s">
        <v>31</v>
      </c>
      <c r="AD11">
        <v>1158</v>
      </c>
      <c r="AE11">
        <v>354</v>
      </c>
      <c r="AF11">
        <v>7231</v>
      </c>
      <c r="AG11">
        <v>20</v>
      </c>
      <c r="AH11">
        <v>97</v>
      </c>
      <c r="AI11">
        <v>109</v>
      </c>
      <c r="AJ11">
        <v>117</v>
      </c>
      <c r="AK11">
        <v>339</v>
      </c>
      <c r="AL11">
        <v>17</v>
      </c>
    </row>
    <row r="12" spans="1:38" x14ac:dyDescent="0.25">
      <c r="A12" s="1" t="s">
        <v>69</v>
      </c>
      <c r="B12">
        <v>121</v>
      </c>
      <c r="C12">
        <v>63</v>
      </c>
      <c r="D12">
        <v>96</v>
      </c>
      <c r="AC12" t="s">
        <v>31</v>
      </c>
      <c r="AD12">
        <v>1146</v>
      </c>
      <c r="AE12">
        <v>399</v>
      </c>
      <c r="AF12">
        <v>6902</v>
      </c>
      <c r="AG12">
        <v>20</v>
      </c>
      <c r="AH12">
        <v>97</v>
      </c>
      <c r="AI12">
        <v>105</v>
      </c>
      <c r="AJ12">
        <v>110</v>
      </c>
      <c r="AK12">
        <v>315</v>
      </c>
      <c r="AL12">
        <v>15</v>
      </c>
    </row>
    <row r="13" spans="1:38" x14ac:dyDescent="0.25">
      <c r="A13" s="1" t="s">
        <v>87</v>
      </c>
      <c r="B13" t="s">
        <v>88</v>
      </c>
      <c r="C13" t="s">
        <v>89</v>
      </c>
      <c r="D13" t="s">
        <v>90</v>
      </c>
      <c r="AC13" t="s">
        <v>31</v>
      </c>
      <c r="AD13">
        <v>1162</v>
      </c>
      <c r="AE13">
        <v>390</v>
      </c>
      <c r="AF13">
        <v>6997</v>
      </c>
      <c r="AG13">
        <v>27</v>
      </c>
      <c r="AH13">
        <v>95</v>
      </c>
      <c r="AI13">
        <v>105</v>
      </c>
      <c r="AJ13">
        <v>112</v>
      </c>
      <c r="AK13">
        <v>378</v>
      </c>
      <c r="AL13">
        <v>16</v>
      </c>
    </row>
    <row r="14" spans="1:38" x14ac:dyDescent="0.25">
      <c r="A14" s="1" t="s">
        <v>69</v>
      </c>
      <c r="B14">
        <v>163</v>
      </c>
      <c r="C14">
        <v>72</v>
      </c>
      <c r="D14">
        <v>67</v>
      </c>
      <c r="AC14" t="s">
        <v>31</v>
      </c>
      <c r="AD14">
        <v>1125</v>
      </c>
      <c r="AE14">
        <v>381</v>
      </c>
      <c r="AF14">
        <v>7166</v>
      </c>
      <c r="AG14">
        <v>33</v>
      </c>
      <c r="AH14">
        <v>98</v>
      </c>
      <c r="AI14">
        <v>109</v>
      </c>
      <c r="AJ14">
        <v>109</v>
      </c>
      <c r="AK14">
        <v>255</v>
      </c>
      <c r="AL14">
        <v>15</v>
      </c>
    </row>
    <row r="15" spans="1:38" x14ac:dyDescent="0.25">
      <c r="A15" s="1" t="s">
        <v>91</v>
      </c>
      <c r="B15" t="s">
        <v>92</v>
      </c>
      <c r="C15" t="s">
        <v>93</v>
      </c>
      <c r="D15" t="s">
        <v>94</v>
      </c>
      <c r="AC15" t="s">
        <v>31</v>
      </c>
      <c r="AD15">
        <v>1113</v>
      </c>
      <c r="AE15">
        <v>379</v>
      </c>
      <c r="AF15">
        <v>6849</v>
      </c>
      <c r="AG15">
        <v>29</v>
      </c>
      <c r="AH15">
        <v>95</v>
      </c>
      <c r="AI15">
        <v>108</v>
      </c>
      <c r="AJ15">
        <v>114</v>
      </c>
      <c r="AK15">
        <v>312</v>
      </c>
      <c r="AL15">
        <v>13</v>
      </c>
    </row>
    <row r="16" spans="1:38" x14ac:dyDescent="0.25">
      <c r="A16" s="1" t="s">
        <v>69</v>
      </c>
      <c r="B16">
        <v>175</v>
      </c>
      <c r="C16">
        <v>73</v>
      </c>
      <c r="D16">
        <v>127</v>
      </c>
      <c r="AC16" t="s">
        <v>31</v>
      </c>
      <c r="AD16">
        <v>1145</v>
      </c>
      <c r="AE16">
        <v>369</v>
      </c>
      <c r="AF16">
        <v>6824</v>
      </c>
      <c r="AG16">
        <v>27</v>
      </c>
      <c r="AH16">
        <v>91</v>
      </c>
      <c r="AI16">
        <v>106</v>
      </c>
      <c r="AJ16">
        <v>112</v>
      </c>
      <c r="AK16">
        <v>309</v>
      </c>
      <c r="AL16">
        <v>16</v>
      </c>
    </row>
    <row r="17" spans="29:38" x14ac:dyDescent="0.25">
      <c r="AC17" t="s">
        <v>31</v>
      </c>
      <c r="AD17">
        <v>1294</v>
      </c>
      <c r="AE17">
        <v>374</v>
      </c>
      <c r="AF17">
        <v>7191</v>
      </c>
      <c r="AG17">
        <v>25</v>
      </c>
      <c r="AH17">
        <v>98</v>
      </c>
      <c r="AI17">
        <v>114</v>
      </c>
      <c r="AJ17">
        <v>108</v>
      </c>
      <c r="AK17">
        <v>304</v>
      </c>
      <c r="AL17">
        <v>19</v>
      </c>
    </row>
    <row r="18" spans="29:38" x14ac:dyDescent="0.25">
      <c r="AC18" t="s">
        <v>31</v>
      </c>
      <c r="AD18">
        <v>1125</v>
      </c>
      <c r="AE18">
        <v>432</v>
      </c>
      <c r="AF18">
        <v>7276</v>
      </c>
      <c r="AG18">
        <v>32</v>
      </c>
      <c r="AH18">
        <v>99</v>
      </c>
      <c r="AI18">
        <v>110</v>
      </c>
      <c r="AJ18">
        <v>121</v>
      </c>
      <c r="AK18">
        <v>358</v>
      </c>
      <c r="AL18">
        <v>10</v>
      </c>
    </row>
    <row r="19" spans="29:38" x14ac:dyDescent="0.25">
      <c r="AC19" t="s">
        <v>31</v>
      </c>
      <c r="AD19">
        <v>1149</v>
      </c>
      <c r="AE19">
        <v>374</v>
      </c>
      <c r="AF19">
        <v>6873</v>
      </c>
      <c r="AG19">
        <v>32</v>
      </c>
      <c r="AH19">
        <v>96</v>
      </c>
      <c r="AI19">
        <v>114</v>
      </c>
      <c r="AJ19">
        <v>115</v>
      </c>
      <c r="AK19">
        <v>315</v>
      </c>
      <c r="AL19">
        <v>15</v>
      </c>
    </row>
    <row r="20" spans="29:38" x14ac:dyDescent="0.25">
      <c r="AC20" t="s">
        <v>31</v>
      </c>
      <c r="AD20">
        <v>1163</v>
      </c>
      <c r="AE20">
        <v>384</v>
      </c>
      <c r="AF20">
        <v>7056</v>
      </c>
      <c r="AG20">
        <v>27</v>
      </c>
      <c r="AH20">
        <v>98</v>
      </c>
      <c r="AI20">
        <v>111</v>
      </c>
      <c r="AJ20">
        <v>119</v>
      </c>
      <c r="AK20">
        <v>323</v>
      </c>
      <c r="AL20">
        <v>19</v>
      </c>
    </row>
    <row r="21" spans="29:38" x14ac:dyDescent="0.25">
      <c r="AC21" t="s">
        <v>31</v>
      </c>
      <c r="AD21">
        <v>1206</v>
      </c>
      <c r="AE21">
        <v>412</v>
      </c>
      <c r="AF21">
        <v>7218</v>
      </c>
      <c r="AG21">
        <v>22</v>
      </c>
      <c r="AH21">
        <v>103</v>
      </c>
      <c r="AI21">
        <v>114</v>
      </c>
      <c r="AJ21">
        <v>121</v>
      </c>
      <c r="AK21">
        <v>365</v>
      </c>
      <c r="AL21">
        <v>15</v>
      </c>
    </row>
    <row r="22" spans="29:38" x14ac:dyDescent="0.25">
      <c r="AC22" t="s">
        <v>29</v>
      </c>
      <c r="AD22">
        <v>776</v>
      </c>
      <c r="AE22">
        <v>251</v>
      </c>
      <c r="AF22">
        <v>5111</v>
      </c>
      <c r="AG22">
        <v>18</v>
      </c>
      <c r="AH22">
        <v>122</v>
      </c>
      <c r="AI22">
        <v>62</v>
      </c>
      <c r="AJ22">
        <v>99</v>
      </c>
      <c r="AK22">
        <v>509</v>
      </c>
      <c r="AL22">
        <v>24</v>
      </c>
    </row>
    <row r="23" spans="29:38" x14ac:dyDescent="0.25">
      <c r="AC23" t="s">
        <v>29</v>
      </c>
      <c r="AD23">
        <v>674</v>
      </c>
      <c r="AE23">
        <v>257</v>
      </c>
      <c r="AF23">
        <v>4552</v>
      </c>
      <c r="AG23">
        <v>21</v>
      </c>
      <c r="AH23">
        <v>124</v>
      </c>
      <c r="AI23">
        <v>60</v>
      </c>
      <c r="AJ23">
        <v>94</v>
      </c>
      <c r="AK23">
        <v>552</v>
      </c>
      <c r="AL23">
        <v>20</v>
      </c>
    </row>
    <row r="24" spans="29:38" x14ac:dyDescent="0.25">
      <c r="AC24" t="s">
        <v>29</v>
      </c>
      <c r="AD24">
        <v>560</v>
      </c>
      <c r="AE24">
        <v>219</v>
      </c>
      <c r="AF24">
        <v>4221</v>
      </c>
      <c r="AG24">
        <v>17</v>
      </c>
      <c r="AH24">
        <v>118</v>
      </c>
      <c r="AI24">
        <v>66</v>
      </c>
      <c r="AJ24">
        <v>97</v>
      </c>
      <c r="AK24">
        <v>420</v>
      </c>
      <c r="AL24">
        <v>21</v>
      </c>
    </row>
    <row r="25" spans="29:38" x14ac:dyDescent="0.25">
      <c r="AC25" t="s">
        <v>29</v>
      </c>
      <c r="AD25">
        <v>544</v>
      </c>
      <c r="AE25">
        <v>239</v>
      </c>
      <c r="AF25">
        <v>4513</v>
      </c>
      <c r="AG25">
        <v>18</v>
      </c>
      <c r="AH25">
        <v>122</v>
      </c>
      <c r="AI25">
        <v>64</v>
      </c>
      <c r="AJ25">
        <v>95</v>
      </c>
      <c r="AK25">
        <v>520</v>
      </c>
      <c r="AL25">
        <v>19</v>
      </c>
    </row>
    <row r="26" spans="29:38" x14ac:dyDescent="0.25">
      <c r="AC26" t="s">
        <v>29</v>
      </c>
      <c r="AD26">
        <v>510</v>
      </c>
      <c r="AE26">
        <v>212</v>
      </c>
      <c r="AF26">
        <v>4484</v>
      </c>
      <c r="AG26">
        <v>20</v>
      </c>
      <c r="AH26">
        <v>121</v>
      </c>
      <c r="AI26">
        <v>61</v>
      </c>
      <c r="AJ26">
        <v>96</v>
      </c>
      <c r="AK26">
        <v>475</v>
      </c>
      <c r="AL26">
        <v>21</v>
      </c>
    </row>
    <row r="27" spans="29:38" x14ac:dyDescent="0.25">
      <c r="AC27" t="s">
        <v>32</v>
      </c>
      <c r="AD27">
        <v>232</v>
      </c>
      <c r="AE27">
        <v>300</v>
      </c>
      <c r="AF27">
        <v>5536</v>
      </c>
      <c r="AG27">
        <v>23</v>
      </c>
      <c r="AH27">
        <v>155</v>
      </c>
      <c r="AI27">
        <v>73</v>
      </c>
      <c r="AJ27">
        <v>69</v>
      </c>
      <c r="AK27">
        <v>359</v>
      </c>
      <c r="AL27">
        <v>33</v>
      </c>
    </row>
    <row r="28" spans="29:38" x14ac:dyDescent="0.25">
      <c r="AC28" t="s">
        <v>32</v>
      </c>
      <c r="AD28">
        <v>188</v>
      </c>
      <c r="AE28">
        <v>282</v>
      </c>
      <c r="AF28">
        <v>5404</v>
      </c>
      <c r="AG28">
        <v>21</v>
      </c>
      <c r="AH28">
        <v>154</v>
      </c>
      <c r="AI28">
        <v>76</v>
      </c>
      <c r="AJ28">
        <v>69</v>
      </c>
      <c r="AK28">
        <v>326</v>
      </c>
      <c r="AL28">
        <v>31</v>
      </c>
    </row>
    <row r="29" spans="29:38" x14ac:dyDescent="0.25">
      <c r="AC29" t="s">
        <v>32</v>
      </c>
      <c r="AD29">
        <v>223</v>
      </c>
      <c r="AE29">
        <v>305</v>
      </c>
      <c r="AF29">
        <v>5261</v>
      </c>
      <c r="AG29">
        <v>23</v>
      </c>
      <c r="AH29">
        <v>163</v>
      </c>
      <c r="AI29">
        <v>77</v>
      </c>
      <c r="AJ29">
        <v>63</v>
      </c>
      <c r="AK29">
        <v>280</v>
      </c>
      <c r="AL29">
        <v>32</v>
      </c>
    </row>
    <row r="30" spans="29:38" x14ac:dyDescent="0.25">
      <c r="AC30" t="s">
        <v>32</v>
      </c>
      <c r="AD30">
        <v>231</v>
      </c>
      <c r="AE30">
        <v>291</v>
      </c>
      <c r="AF30">
        <v>4768</v>
      </c>
      <c r="AG30">
        <v>22</v>
      </c>
      <c r="AH30">
        <v>156</v>
      </c>
      <c r="AI30">
        <v>65</v>
      </c>
      <c r="AJ30">
        <v>62</v>
      </c>
      <c r="AK30">
        <v>420</v>
      </c>
      <c r="AL30">
        <v>27</v>
      </c>
    </row>
    <row r="31" spans="29:38" x14ac:dyDescent="0.25">
      <c r="AC31" t="s">
        <v>32</v>
      </c>
      <c r="AD31">
        <v>231</v>
      </c>
      <c r="AE31">
        <v>326</v>
      </c>
      <c r="AF31">
        <v>5187</v>
      </c>
      <c r="AG31">
        <v>22</v>
      </c>
      <c r="AH31">
        <v>172</v>
      </c>
      <c r="AI31">
        <v>73</v>
      </c>
      <c r="AJ31">
        <v>68</v>
      </c>
      <c r="AK31">
        <v>305</v>
      </c>
      <c r="AL31">
        <v>38</v>
      </c>
    </row>
    <row r="32" spans="29:38" x14ac:dyDescent="0.25">
      <c r="AC32" t="s">
        <v>32</v>
      </c>
      <c r="AD32">
        <v>229</v>
      </c>
      <c r="AE32">
        <v>308</v>
      </c>
      <c r="AF32">
        <v>5456</v>
      </c>
      <c r="AG32">
        <v>22</v>
      </c>
      <c r="AH32">
        <v>168</v>
      </c>
      <c r="AI32">
        <v>75</v>
      </c>
      <c r="AJ32">
        <v>74</v>
      </c>
      <c r="AK32">
        <v>351</v>
      </c>
      <c r="AL32">
        <v>33</v>
      </c>
    </row>
    <row r="33" spans="29:38" x14ac:dyDescent="0.25">
      <c r="AC33" t="s">
        <v>32</v>
      </c>
      <c r="AD33">
        <v>170</v>
      </c>
      <c r="AE33">
        <v>340</v>
      </c>
      <c r="AF33">
        <v>5483</v>
      </c>
      <c r="AG33">
        <v>20</v>
      </c>
      <c r="AH33">
        <v>173</v>
      </c>
      <c r="AI33">
        <v>64</v>
      </c>
      <c r="AJ33">
        <v>67</v>
      </c>
      <c r="AK33">
        <v>307</v>
      </c>
      <c r="AL33">
        <v>38</v>
      </c>
    </row>
    <row r="34" spans="29:38" x14ac:dyDescent="0.25">
      <c r="AC34" t="s">
        <v>33</v>
      </c>
      <c r="AD34">
        <v>1701</v>
      </c>
      <c r="AE34">
        <v>421</v>
      </c>
      <c r="AF34">
        <v>11671</v>
      </c>
      <c r="AG34">
        <v>46</v>
      </c>
      <c r="AH34">
        <v>174</v>
      </c>
      <c r="AI34">
        <v>71</v>
      </c>
      <c r="AJ34">
        <v>128</v>
      </c>
      <c r="AK34">
        <v>367</v>
      </c>
      <c r="AL34">
        <v>34</v>
      </c>
    </row>
    <row r="35" spans="29:38" x14ac:dyDescent="0.25">
      <c r="AC35" t="s">
        <v>33</v>
      </c>
      <c r="AD35">
        <v>364</v>
      </c>
      <c r="AE35">
        <v>258</v>
      </c>
      <c r="AF35">
        <v>7335</v>
      </c>
      <c r="AG35">
        <v>46</v>
      </c>
      <c r="AH35">
        <v>185</v>
      </c>
      <c r="AI35">
        <v>75</v>
      </c>
      <c r="AJ35">
        <v>122</v>
      </c>
      <c r="AK35">
        <v>408</v>
      </c>
      <c r="AL35">
        <v>39</v>
      </c>
    </row>
    <row r="36" spans="29:38" x14ac:dyDescent="0.25">
      <c r="AC36" t="s">
        <v>33</v>
      </c>
      <c r="AD36">
        <v>682</v>
      </c>
      <c r="AE36">
        <v>300</v>
      </c>
      <c r="AF36">
        <v>7315</v>
      </c>
      <c r="AG36">
        <v>32</v>
      </c>
      <c r="AH36">
        <v>164</v>
      </c>
      <c r="AI36">
        <v>70</v>
      </c>
      <c r="AJ36">
        <v>129</v>
      </c>
      <c r="AK36">
        <v>416</v>
      </c>
      <c r="AL36">
        <v>28</v>
      </c>
    </row>
    <row r="37" spans="29:38" x14ac:dyDescent="0.25">
      <c r="AC37" t="s">
        <v>33</v>
      </c>
      <c r="AD37">
        <v>327</v>
      </c>
      <c r="AE37">
        <v>289</v>
      </c>
      <c r="AF37">
        <v>7512</v>
      </c>
      <c r="AG37">
        <v>37</v>
      </c>
      <c r="AH37">
        <v>181</v>
      </c>
      <c r="AI37">
        <v>71</v>
      </c>
      <c r="AJ37">
        <v>126</v>
      </c>
      <c r="AK37">
        <v>459</v>
      </c>
      <c r="AL37">
        <v>42</v>
      </c>
    </row>
    <row r="38" spans="29:38" x14ac:dyDescent="0.25">
      <c r="AC38" t="s">
        <v>33</v>
      </c>
      <c r="AD38">
        <v>326</v>
      </c>
      <c r="AE38">
        <v>286</v>
      </c>
      <c r="AF38">
        <v>7052</v>
      </c>
      <c r="AG38">
        <v>35</v>
      </c>
      <c r="AH38">
        <v>165</v>
      </c>
      <c r="AI38">
        <v>72</v>
      </c>
      <c r="AJ38">
        <v>118</v>
      </c>
      <c r="AK38">
        <v>407</v>
      </c>
      <c r="AL38">
        <v>27</v>
      </c>
    </row>
    <row r="39" spans="29:38" x14ac:dyDescent="0.25">
      <c r="AC39" t="s">
        <v>33</v>
      </c>
      <c r="AD39">
        <v>331</v>
      </c>
      <c r="AE39">
        <v>296</v>
      </c>
      <c r="AF39">
        <v>7108</v>
      </c>
      <c r="AG39">
        <v>36</v>
      </c>
      <c r="AH39">
        <v>173</v>
      </c>
      <c r="AI39">
        <v>72</v>
      </c>
      <c r="AJ39">
        <v>123</v>
      </c>
      <c r="AK39">
        <v>461</v>
      </c>
      <c r="AL39">
        <v>27</v>
      </c>
    </row>
    <row r="40" spans="29:38" x14ac:dyDescent="0.25">
      <c r="AC40" t="s">
        <v>33</v>
      </c>
      <c r="AD40">
        <v>2356</v>
      </c>
      <c r="AE40">
        <v>278</v>
      </c>
      <c r="AF40">
        <v>12551</v>
      </c>
      <c r="AG40">
        <v>43</v>
      </c>
      <c r="AH40">
        <v>176</v>
      </c>
      <c r="AI40">
        <v>73</v>
      </c>
      <c r="AJ40">
        <v>128</v>
      </c>
      <c r="AK40">
        <v>385</v>
      </c>
      <c r="AL40">
        <v>38</v>
      </c>
    </row>
    <row r="41" spans="29:38" x14ac:dyDescent="0.25">
      <c r="AC41" t="s">
        <v>33</v>
      </c>
      <c r="AD41">
        <v>2032</v>
      </c>
      <c r="AE41">
        <v>292</v>
      </c>
      <c r="AF41">
        <v>11361</v>
      </c>
      <c r="AG41">
        <v>38</v>
      </c>
      <c r="AH41">
        <v>174</v>
      </c>
      <c r="AI41">
        <v>74</v>
      </c>
      <c r="AJ41">
        <v>133</v>
      </c>
      <c r="AK41">
        <v>572</v>
      </c>
      <c r="AL41">
        <v>33</v>
      </c>
    </row>
    <row r="42" spans="29:38" x14ac:dyDescent="0.25">
      <c r="AC42" t="s">
        <v>16</v>
      </c>
      <c r="AD42">
        <v>439</v>
      </c>
      <c r="AE42">
        <v>509</v>
      </c>
      <c r="AF42">
        <v>4206</v>
      </c>
      <c r="AG42">
        <v>24</v>
      </c>
      <c r="AH42">
        <v>367</v>
      </c>
      <c r="AI42">
        <v>10</v>
      </c>
      <c r="AJ42">
        <v>128</v>
      </c>
      <c r="AK42">
        <v>153</v>
      </c>
      <c r="AL42">
        <v>57</v>
      </c>
    </row>
  </sheetData>
  <autoFilter ref="A1:A42" xr:uid="{8A244CBC-2528-4A6F-9968-21F6312D430B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DEB-68C7-43B9-9F2A-BADB69CD5EBB}">
  <dimension ref="A1:Q6"/>
  <sheetViews>
    <sheetView tabSelected="1" workbookViewId="0">
      <selection activeCell="E16" sqref="E16"/>
    </sheetView>
  </sheetViews>
  <sheetFormatPr defaultRowHeight="15" x14ac:dyDescent="0.25"/>
  <cols>
    <col min="1" max="1" width="13" bestFit="1" customWidth="1"/>
    <col min="2" max="2" width="4.85546875" bestFit="1" customWidth="1"/>
    <col min="3" max="3" width="4.7109375" bestFit="1" customWidth="1"/>
    <col min="4" max="4" width="4.85546875" bestFit="1" customWidth="1"/>
    <col min="5" max="5" width="5.85546875" bestFit="1" customWidth="1"/>
    <col min="6" max="6" width="3.7109375" bestFit="1" customWidth="1"/>
    <col min="7" max="7" width="3" bestFit="1" customWidth="1"/>
    <col min="8" max="8" width="3.7109375" bestFit="1" customWidth="1"/>
    <col min="9" max="9" width="3.42578125" bestFit="1" customWidth="1"/>
    <col min="10" max="10" width="3.7109375" bestFit="1" customWidth="1"/>
    <col min="11" max="11" width="3.5703125" bestFit="1" customWidth="1"/>
    <col min="12" max="12" width="3.42578125" bestFit="1" customWidth="1"/>
    <col min="13" max="14" width="3.85546875" bestFit="1" customWidth="1"/>
    <col min="15" max="15" width="2.85546875" bestFit="1" customWidth="1"/>
    <col min="16" max="16" width="3.85546875" bestFit="1" customWidth="1"/>
    <col min="17" max="17" width="3.140625" bestFit="1" customWidth="1"/>
  </cols>
  <sheetData>
    <row r="1" spans="1:17" x14ac:dyDescent="0.25">
      <c r="A1" t="s">
        <v>27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58</v>
      </c>
    </row>
    <row r="2" spans="1:17" x14ac:dyDescent="0.25">
      <c r="A2" t="s">
        <v>270</v>
      </c>
      <c r="B2" s="3">
        <v>344</v>
      </c>
      <c r="C2" s="3">
        <v>456</v>
      </c>
      <c r="D2" s="3">
        <v>529</v>
      </c>
      <c r="E2" s="3">
        <v>7205</v>
      </c>
      <c r="F2" s="3">
        <v>3</v>
      </c>
      <c r="G2" s="3">
        <v>6</v>
      </c>
      <c r="H2" s="3">
        <v>6</v>
      </c>
      <c r="I2" s="3">
        <v>46</v>
      </c>
      <c r="J2" s="3">
        <v>16</v>
      </c>
      <c r="K2" s="3">
        <v>32</v>
      </c>
      <c r="L2" s="3">
        <v>16</v>
      </c>
      <c r="M2" s="3">
        <v>190</v>
      </c>
      <c r="N2" s="3">
        <v>17</v>
      </c>
      <c r="O2" s="3">
        <v>20</v>
      </c>
      <c r="P2" s="3">
        <v>83</v>
      </c>
      <c r="Q2" s="3">
        <v>18</v>
      </c>
    </row>
    <row r="3" spans="1:17" x14ac:dyDescent="0.25">
      <c r="A3" t="s">
        <v>163</v>
      </c>
      <c r="B3" s="3">
        <v>696.80919931856897</v>
      </c>
      <c r="C3" s="3">
        <v>432.97103918228277</v>
      </c>
      <c r="D3" s="3">
        <v>490.09028960817716</v>
      </c>
      <c r="E3" s="3">
        <v>9983.1942078364573</v>
      </c>
      <c r="F3" s="3">
        <v>4.1601362862010225</v>
      </c>
      <c r="G3" s="3">
        <v>6.1652470187393522</v>
      </c>
      <c r="H3" s="3">
        <v>7.4821124361158429</v>
      </c>
      <c r="I3" s="3">
        <v>40.916524701873932</v>
      </c>
      <c r="J3" s="3">
        <v>15.681431005110733</v>
      </c>
      <c r="K3" s="3">
        <v>23.669505962521296</v>
      </c>
      <c r="L3" s="3">
        <v>10.993185689948893</v>
      </c>
      <c r="M3" s="3">
        <v>118.67461669505963</v>
      </c>
      <c r="N3" s="3">
        <v>102.01022146507665</v>
      </c>
      <c r="O3" s="3">
        <v>17.734241908006815</v>
      </c>
      <c r="P3" s="3">
        <v>105.75979557069847</v>
      </c>
      <c r="Q3" s="3">
        <v>9.131175468483816</v>
      </c>
    </row>
    <row r="4" spans="1:17" x14ac:dyDescent="0.25">
      <c r="A4" t="s">
        <v>29</v>
      </c>
      <c r="B4" s="3">
        <v>475</v>
      </c>
      <c r="C4" s="3">
        <v>636</v>
      </c>
      <c r="D4" s="3">
        <v>452</v>
      </c>
      <c r="E4" s="3">
        <v>9110</v>
      </c>
      <c r="F4" s="3">
        <v>5</v>
      </c>
      <c r="G4" s="3">
        <v>7</v>
      </c>
      <c r="H4" s="3">
        <v>9</v>
      </c>
      <c r="I4" s="3">
        <v>55</v>
      </c>
      <c r="J4" s="3">
        <v>16</v>
      </c>
      <c r="K4" s="3">
        <v>25</v>
      </c>
      <c r="L4" s="3">
        <v>14</v>
      </c>
      <c r="M4" s="3">
        <v>126</v>
      </c>
      <c r="N4" s="3">
        <v>57</v>
      </c>
      <c r="O4" s="3">
        <v>16</v>
      </c>
      <c r="P4" s="3">
        <v>87</v>
      </c>
      <c r="Q4" s="3">
        <v>13</v>
      </c>
    </row>
    <row r="5" spans="1:17" x14ac:dyDescent="0.25">
      <c r="A5" t="s">
        <v>164</v>
      </c>
      <c r="B5" s="3">
        <v>719.19277108433732</v>
      </c>
      <c r="C5" s="3">
        <v>600.06024096385545</v>
      </c>
      <c r="D5" s="3">
        <v>510.1686746987952</v>
      </c>
      <c r="E5" s="3">
        <v>12333.301204819278</v>
      </c>
      <c r="F5" s="3">
        <v>5.0120481927710845</v>
      </c>
      <c r="G5" s="3">
        <v>6.096385542168675</v>
      </c>
      <c r="H5" s="3">
        <v>8.024096385542169</v>
      </c>
      <c r="I5" s="3">
        <v>42.325301204819276</v>
      </c>
      <c r="J5" s="3">
        <v>15.542168674698795</v>
      </c>
      <c r="K5" s="3">
        <v>23.602409638554217</v>
      </c>
      <c r="L5" s="3">
        <v>10.27710843373494</v>
      </c>
      <c r="M5" s="3">
        <v>109.79518072289157</v>
      </c>
      <c r="N5" s="3">
        <v>117.25301204819277</v>
      </c>
      <c r="O5" s="3">
        <v>17.795180722891565</v>
      </c>
      <c r="P5" s="3">
        <v>114.59036144578313</v>
      </c>
      <c r="Q5" s="3">
        <v>8.6746987951807224</v>
      </c>
    </row>
    <row r="6" spans="1:17" x14ac:dyDescent="0.25">
      <c r="A6" t="s">
        <v>271</v>
      </c>
      <c r="B6" s="3">
        <v>698</v>
      </c>
      <c r="C6" s="3">
        <v>188</v>
      </c>
      <c r="D6" s="3">
        <v>-135</v>
      </c>
      <c r="E6" s="3">
        <v>1535</v>
      </c>
      <c r="F6" s="3">
        <v>1</v>
      </c>
      <c r="G6" s="3">
        <v>6</v>
      </c>
      <c r="H6" s="3">
        <v>6</v>
      </c>
      <c r="I6" s="3">
        <v>25</v>
      </c>
      <c r="J6" s="3">
        <v>15</v>
      </c>
      <c r="K6" s="3">
        <v>34</v>
      </c>
      <c r="L6" s="3">
        <v>3</v>
      </c>
      <c r="M6" s="3">
        <v>14</v>
      </c>
      <c r="N6" s="3">
        <v>22</v>
      </c>
      <c r="O6" s="3">
        <v>10</v>
      </c>
      <c r="P6" s="3">
        <v>21</v>
      </c>
      <c r="Q6" s="3">
        <v>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0"/>
  <sheetViews>
    <sheetView topLeftCell="A16" workbookViewId="0">
      <selection activeCell="T21" sqref="T21"/>
    </sheetView>
  </sheetViews>
  <sheetFormatPr defaultRowHeight="15" x14ac:dyDescent="0.25"/>
  <cols>
    <col min="1" max="1" width="9.5703125" bestFit="1" customWidth="1"/>
    <col min="2" max="2" width="4.42578125" bestFit="1" customWidth="1"/>
    <col min="3" max="3" width="0" hidden="1" customWidth="1"/>
    <col min="4" max="4" width="4.42578125" bestFit="1" customWidth="1"/>
    <col min="5" max="5" width="0" hidden="1" customWidth="1"/>
    <col min="6" max="6" width="4.42578125" bestFit="1" customWidth="1"/>
    <col min="7" max="7" width="0" hidden="1" customWidth="1"/>
    <col min="8" max="8" width="5.85546875" bestFit="1" customWidth="1"/>
    <col min="9" max="9" width="0" hidden="1" customWidth="1"/>
    <col min="10" max="10" width="4.42578125" bestFit="1" customWidth="1"/>
    <col min="11" max="11" width="0" hidden="1" customWidth="1"/>
    <col min="12" max="12" width="4.85546875" bestFit="1" customWidth="1"/>
    <col min="13" max="13" width="0" hidden="1" customWidth="1"/>
  </cols>
  <sheetData>
    <row r="1" spans="1:13" x14ac:dyDescent="0.25">
      <c r="A1" t="s">
        <v>190</v>
      </c>
      <c r="B1" t="s">
        <v>19</v>
      </c>
      <c r="C1" t="s">
        <v>191</v>
      </c>
      <c r="D1" t="s">
        <v>25</v>
      </c>
      <c r="E1" t="s">
        <v>191</v>
      </c>
      <c r="F1" t="s">
        <v>28</v>
      </c>
      <c r="G1" t="s">
        <v>191</v>
      </c>
      <c r="H1" t="s">
        <v>23</v>
      </c>
      <c r="I1" t="s">
        <v>191</v>
      </c>
      <c r="J1" t="s">
        <v>22</v>
      </c>
      <c r="K1" t="s">
        <v>191</v>
      </c>
      <c r="L1" t="s">
        <v>20</v>
      </c>
      <c r="M1" t="s">
        <v>191</v>
      </c>
    </row>
    <row r="2" spans="1:13" x14ac:dyDescent="0.25">
      <c r="A2" t="s">
        <v>188</v>
      </c>
    </row>
    <row r="3" spans="1:13" x14ac:dyDescent="0.25">
      <c r="A3">
        <v>1</v>
      </c>
      <c r="B3">
        <v>89</v>
      </c>
      <c r="C3">
        <v>4</v>
      </c>
      <c r="D3">
        <v>158</v>
      </c>
      <c r="E3">
        <v>3</v>
      </c>
      <c r="F3">
        <v>28</v>
      </c>
      <c r="G3">
        <v>2</v>
      </c>
      <c r="H3">
        <v>41</v>
      </c>
      <c r="I3">
        <v>6</v>
      </c>
      <c r="J3">
        <v>551</v>
      </c>
      <c r="K3">
        <v>42</v>
      </c>
      <c r="L3">
        <v>3206</v>
      </c>
      <c r="M3">
        <v>93</v>
      </c>
    </row>
    <row r="4" spans="1:13" x14ac:dyDescent="0.25">
      <c r="A4">
        <v>2</v>
      </c>
      <c r="B4">
        <v>86</v>
      </c>
      <c r="C4">
        <v>4</v>
      </c>
      <c r="D4">
        <v>148</v>
      </c>
      <c r="E4">
        <v>3</v>
      </c>
      <c r="F4">
        <v>26</v>
      </c>
      <c r="G4">
        <v>2</v>
      </c>
      <c r="H4">
        <v>35</v>
      </c>
      <c r="I4">
        <v>6</v>
      </c>
      <c r="J4">
        <v>529</v>
      </c>
      <c r="K4">
        <v>45</v>
      </c>
      <c r="L4">
        <v>2977</v>
      </c>
      <c r="M4">
        <v>102</v>
      </c>
    </row>
    <row r="5" spans="1:13" x14ac:dyDescent="0.25">
      <c r="A5">
        <v>3</v>
      </c>
      <c r="B5">
        <v>86</v>
      </c>
      <c r="C5">
        <v>4</v>
      </c>
      <c r="D5">
        <v>157</v>
      </c>
      <c r="E5">
        <v>4</v>
      </c>
      <c r="F5">
        <v>26</v>
      </c>
      <c r="G5">
        <v>2</v>
      </c>
      <c r="H5">
        <v>43</v>
      </c>
      <c r="I5">
        <v>7</v>
      </c>
      <c r="J5">
        <v>555</v>
      </c>
      <c r="K5">
        <v>46</v>
      </c>
      <c r="L5">
        <v>3146</v>
      </c>
      <c r="M5">
        <v>105</v>
      </c>
    </row>
    <row r="6" spans="1:13" x14ac:dyDescent="0.25">
      <c r="A6">
        <v>4</v>
      </c>
      <c r="B6">
        <v>87</v>
      </c>
      <c r="C6">
        <v>4</v>
      </c>
      <c r="D6">
        <v>154</v>
      </c>
      <c r="E6">
        <v>4</v>
      </c>
      <c r="F6">
        <v>26</v>
      </c>
      <c r="G6">
        <v>2</v>
      </c>
      <c r="H6">
        <v>43</v>
      </c>
      <c r="I6">
        <v>7</v>
      </c>
      <c r="J6">
        <v>614</v>
      </c>
      <c r="K6">
        <v>48</v>
      </c>
      <c r="L6">
        <v>3283</v>
      </c>
      <c r="M6">
        <v>105</v>
      </c>
    </row>
    <row r="7" spans="1:13" x14ac:dyDescent="0.25">
      <c r="A7">
        <v>5</v>
      </c>
      <c r="B7">
        <v>87</v>
      </c>
      <c r="C7">
        <v>4</v>
      </c>
      <c r="D7">
        <v>159</v>
      </c>
      <c r="E7">
        <v>4</v>
      </c>
      <c r="F7">
        <v>26</v>
      </c>
      <c r="G7">
        <v>2</v>
      </c>
      <c r="H7">
        <v>38</v>
      </c>
      <c r="I7">
        <v>7</v>
      </c>
      <c r="J7">
        <v>602</v>
      </c>
      <c r="K7">
        <v>47</v>
      </c>
      <c r="L7">
        <v>3279</v>
      </c>
      <c r="M7">
        <v>104</v>
      </c>
    </row>
    <row r="8" spans="1:13" x14ac:dyDescent="0.25">
      <c r="A8">
        <v>6</v>
      </c>
      <c r="B8">
        <v>87</v>
      </c>
      <c r="C8">
        <v>4</v>
      </c>
      <c r="D8">
        <v>148</v>
      </c>
      <c r="E8">
        <v>3</v>
      </c>
      <c r="F8">
        <v>25</v>
      </c>
      <c r="G8">
        <v>2</v>
      </c>
      <c r="H8">
        <v>41</v>
      </c>
      <c r="I8">
        <v>7</v>
      </c>
      <c r="J8">
        <v>538</v>
      </c>
      <c r="K8">
        <v>46</v>
      </c>
      <c r="L8">
        <v>3047</v>
      </c>
      <c r="M8">
        <v>105</v>
      </c>
    </row>
    <row r="9" spans="1:13" x14ac:dyDescent="0.25">
      <c r="A9">
        <v>7</v>
      </c>
      <c r="B9">
        <v>86</v>
      </c>
      <c r="C9">
        <v>4</v>
      </c>
      <c r="D9">
        <v>162</v>
      </c>
      <c r="E9">
        <v>4</v>
      </c>
      <c r="F9">
        <v>26</v>
      </c>
      <c r="G9">
        <v>2</v>
      </c>
      <c r="H9">
        <v>40</v>
      </c>
      <c r="I9">
        <v>7</v>
      </c>
      <c r="J9">
        <v>566</v>
      </c>
      <c r="K9">
        <v>46</v>
      </c>
      <c r="L9">
        <v>3042</v>
      </c>
      <c r="M9">
        <v>103</v>
      </c>
    </row>
    <row r="10" spans="1:13" x14ac:dyDescent="0.25">
      <c r="A10" t="s">
        <v>192</v>
      </c>
      <c r="B10">
        <v>87</v>
      </c>
      <c r="D10">
        <v>155</v>
      </c>
      <c r="F10">
        <v>26</v>
      </c>
      <c r="H10">
        <v>40</v>
      </c>
      <c r="J10">
        <v>565</v>
      </c>
      <c r="L10">
        <v>3140</v>
      </c>
    </row>
    <row r="11" spans="1:13" x14ac:dyDescent="0.25">
      <c r="A11" t="s">
        <v>193</v>
      </c>
      <c r="B11">
        <v>1</v>
      </c>
      <c r="D11">
        <v>5</v>
      </c>
      <c r="F11">
        <v>1</v>
      </c>
      <c r="H11">
        <v>3</v>
      </c>
      <c r="J11">
        <v>32</v>
      </c>
      <c r="L11">
        <v>122</v>
      </c>
    </row>
    <row r="12" spans="1:13" x14ac:dyDescent="0.25">
      <c r="A12" t="s">
        <v>194</v>
      </c>
      <c r="B12">
        <v>0.01</v>
      </c>
      <c r="D12">
        <v>0.03</v>
      </c>
      <c r="F12">
        <v>0.03</v>
      </c>
      <c r="H12">
        <v>7.0000000000000007E-2</v>
      </c>
      <c r="J12">
        <v>0.06</v>
      </c>
      <c r="L12">
        <v>0.04</v>
      </c>
    </row>
    <row r="13" spans="1:13" x14ac:dyDescent="0.25">
      <c r="A13" t="s">
        <v>189</v>
      </c>
    </row>
    <row r="14" spans="1:13" x14ac:dyDescent="0.25">
      <c r="A14">
        <v>1</v>
      </c>
      <c r="B14">
        <v>57</v>
      </c>
      <c r="C14">
        <v>3</v>
      </c>
      <c r="D14">
        <v>76</v>
      </c>
      <c r="E14">
        <v>2</v>
      </c>
      <c r="F14">
        <v>11</v>
      </c>
      <c r="G14">
        <v>1</v>
      </c>
      <c r="H14" t="s">
        <v>195</v>
      </c>
      <c r="I14">
        <v>5</v>
      </c>
      <c r="J14">
        <v>87</v>
      </c>
      <c r="K14">
        <v>22</v>
      </c>
      <c r="L14">
        <v>552</v>
      </c>
      <c r="M14">
        <v>68</v>
      </c>
    </row>
    <row r="15" spans="1:13" x14ac:dyDescent="0.25">
      <c r="A15">
        <v>2</v>
      </c>
      <c r="B15">
        <v>54</v>
      </c>
      <c r="C15">
        <v>3</v>
      </c>
      <c r="D15">
        <v>78</v>
      </c>
      <c r="E15">
        <v>2</v>
      </c>
      <c r="F15">
        <v>11</v>
      </c>
      <c r="G15">
        <v>1</v>
      </c>
      <c r="H15" t="s">
        <v>195</v>
      </c>
      <c r="I15">
        <v>6</v>
      </c>
      <c r="J15">
        <v>86</v>
      </c>
      <c r="K15">
        <v>24</v>
      </c>
      <c r="L15">
        <v>616</v>
      </c>
      <c r="M15">
        <v>74</v>
      </c>
    </row>
    <row r="16" spans="1:13" x14ac:dyDescent="0.25">
      <c r="A16">
        <v>3</v>
      </c>
      <c r="B16">
        <v>54</v>
      </c>
      <c r="C16">
        <v>3</v>
      </c>
      <c r="D16">
        <v>73</v>
      </c>
      <c r="E16">
        <v>2</v>
      </c>
      <c r="F16">
        <v>10</v>
      </c>
      <c r="G16">
        <v>1</v>
      </c>
      <c r="H16" t="s">
        <v>195</v>
      </c>
      <c r="I16">
        <v>6</v>
      </c>
      <c r="J16">
        <v>75</v>
      </c>
      <c r="K16">
        <v>24</v>
      </c>
      <c r="L16">
        <v>637</v>
      </c>
      <c r="M16">
        <v>78</v>
      </c>
    </row>
    <row r="17" spans="1:13" x14ac:dyDescent="0.25">
      <c r="A17">
        <v>4</v>
      </c>
      <c r="B17">
        <v>54</v>
      </c>
      <c r="C17">
        <v>3</v>
      </c>
      <c r="D17">
        <v>78</v>
      </c>
      <c r="E17">
        <v>2</v>
      </c>
      <c r="F17">
        <v>11</v>
      </c>
      <c r="G17">
        <v>1</v>
      </c>
      <c r="H17" t="s">
        <v>195</v>
      </c>
      <c r="I17">
        <v>6</v>
      </c>
      <c r="J17">
        <v>91</v>
      </c>
      <c r="K17">
        <v>25</v>
      </c>
      <c r="L17">
        <v>630</v>
      </c>
      <c r="M17">
        <v>76</v>
      </c>
    </row>
    <row r="18" spans="1:13" x14ac:dyDescent="0.25">
      <c r="A18">
        <v>5</v>
      </c>
      <c r="B18">
        <v>56</v>
      </c>
      <c r="C18">
        <v>3</v>
      </c>
      <c r="D18">
        <v>73</v>
      </c>
      <c r="E18">
        <v>2</v>
      </c>
      <c r="F18">
        <v>10</v>
      </c>
      <c r="G18">
        <v>1</v>
      </c>
      <c r="H18" t="s">
        <v>195</v>
      </c>
      <c r="I18">
        <v>6</v>
      </c>
      <c r="J18">
        <v>73</v>
      </c>
      <c r="K18">
        <v>24</v>
      </c>
      <c r="L18">
        <v>590</v>
      </c>
      <c r="M18">
        <v>78</v>
      </c>
    </row>
    <row r="19" spans="1:13" x14ac:dyDescent="0.25">
      <c r="A19">
        <v>6</v>
      </c>
      <c r="B19">
        <v>55</v>
      </c>
      <c r="C19">
        <v>3</v>
      </c>
      <c r="D19">
        <v>75</v>
      </c>
      <c r="E19">
        <v>2</v>
      </c>
      <c r="F19">
        <v>10</v>
      </c>
      <c r="G19">
        <v>1</v>
      </c>
      <c r="H19" t="s">
        <v>195</v>
      </c>
      <c r="I19">
        <v>6</v>
      </c>
      <c r="J19">
        <v>72</v>
      </c>
      <c r="K19">
        <v>24</v>
      </c>
      <c r="L19">
        <v>555</v>
      </c>
      <c r="M19">
        <v>77</v>
      </c>
    </row>
    <row r="20" spans="1:13" x14ac:dyDescent="0.25">
      <c r="A20">
        <v>7</v>
      </c>
      <c r="B20">
        <v>52</v>
      </c>
      <c r="C20">
        <v>3</v>
      </c>
      <c r="D20">
        <v>70</v>
      </c>
      <c r="E20">
        <v>2</v>
      </c>
      <c r="F20">
        <v>10</v>
      </c>
      <c r="G20">
        <v>1</v>
      </c>
      <c r="H20" t="s">
        <v>195</v>
      </c>
      <c r="I20">
        <v>6</v>
      </c>
      <c r="J20">
        <v>76</v>
      </c>
      <c r="K20">
        <v>23</v>
      </c>
      <c r="L20">
        <v>635</v>
      </c>
      <c r="M20">
        <v>78</v>
      </c>
    </row>
    <row r="21" spans="1:13" x14ac:dyDescent="0.25">
      <c r="A21" t="s">
        <v>192</v>
      </c>
      <c r="B21">
        <v>55</v>
      </c>
      <c r="D21">
        <v>75</v>
      </c>
      <c r="F21">
        <v>10</v>
      </c>
      <c r="H21" t="s">
        <v>196</v>
      </c>
      <c r="J21">
        <v>80</v>
      </c>
      <c r="L21">
        <v>602</v>
      </c>
    </row>
    <row r="22" spans="1:13" x14ac:dyDescent="0.25">
      <c r="A22" t="s">
        <v>197</v>
      </c>
      <c r="B22">
        <v>2</v>
      </c>
      <c r="D22">
        <v>3</v>
      </c>
      <c r="F22">
        <v>1</v>
      </c>
      <c r="H22" t="s">
        <v>196</v>
      </c>
      <c r="J22">
        <v>8</v>
      </c>
      <c r="L22">
        <v>37</v>
      </c>
    </row>
    <row r="23" spans="1:13" x14ac:dyDescent="0.25">
      <c r="A23" t="s">
        <v>194</v>
      </c>
      <c r="B23">
        <v>0.03</v>
      </c>
      <c r="D23">
        <v>0.04</v>
      </c>
      <c r="F23">
        <v>0.06</v>
      </c>
      <c r="H23" t="s">
        <v>196</v>
      </c>
      <c r="J23">
        <v>0.1</v>
      </c>
      <c r="L23">
        <v>0.06</v>
      </c>
    </row>
    <row r="26" spans="1:13" x14ac:dyDescent="0.25">
      <c r="A26" t="s">
        <v>202</v>
      </c>
      <c r="B26" t="s">
        <v>19</v>
      </c>
      <c r="C26" t="s">
        <v>191</v>
      </c>
      <c r="D26" t="s">
        <v>25</v>
      </c>
      <c r="E26" t="s">
        <v>191</v>
      </c>
      <c r="F26" t="s">
        <v>28</v>
      </c>
      <c r="G26" t="s">
        <v>191</v>
      </c>
      <c r="H26" t="s">
        <v>23</v>
      </c>
      <c r="I26" t="s">
        <v>191</v>
      </c>
      <c r="J26" t="s">
        <v>22</v>
      </c>
      <c r="K26" t="s">
        <v>191</v>
      </c>
      <c r="L26" t="s">
        <v>20</v>
      </c>
      <c r="M26" t="s">
        <v>191</v>
      </c>
    </row>
    <row r="27" spans="1:13" x14ac:dyDescent="0.25">
      <c r="A27" t="s">
        <v>198</v>
      </c>
    </row>
    <row r="28" spans="1:13" x14ac:dyDescent="0.25">
      <c r="A28">
        <v>1</v>
      </c>
      <c r="B28">
        <v>242</v>
      </c>
      <c r="C28">
        <v>6</v>
      </c>
      <c r="D28">
        <v>82</v>
      </c>
      <c r="E28">
        <v>3</v>
      </c>
      <c r="F28">
        <v>168</v>
      </c>
      <c r="G28">
        <v>4</v>
      </c>
      <c r="H28">
        <v>48</v>
      </c>
      <c r="I28">
        <v>8</v>
      </c>
      <c r="J28">
        <v>318</v>
      </c>
      <c r="K28">
        <v>44</v>
      </c>
      <c r="L28">
        <v>347</v>
      </c>
      <c r="M28">
        <v>60</v>
      </c>
    </row>
    <row r="29" spans="1:13" x14ac:dyDescent="0.25">
      <c r="A29">
        <v>2</v>
      </c>
      <c r="B29">
        <v>264</v>
      </c>
      <c r="C29">
        <v>7</v>
      </c>
      <c r="D29">
        <v>85</v>
      </c>
      <c r="E29">
        <v>3</v>
      </c>
      <c r="F29">
        <v>176</v>
      </c>
      <c r="G29">
        <v>5</v>
      </c>
      <c r="H29">
        <v>43</v>
      </c>
      <c r="I29">
        <v>9</v>
      </c>
      <c r="J29">
        <v>381</v>
      </c>
      <c r="K29">
        <v>50</v>
      </c>
      <c r="L29">
        <v>298</v>
      </c>
      <c r="M29">
        <v>57</v>
      </c>
    </row>
    <row r="30" spans="1:13" x14ac:dyDescent="0.25">
      <c r="A30">
        <v>3</v>
      </c>
      <c r="B30">
        <v>243</v>
      </c>
      <c r="C30">
        <v>6</v>
      </c>
      <c r="D30">
        <v>75</v>
      </c>
      <c r="E30">
        <v>3</v>
      </c>
      <c r="F30">
        <v>156</v>
      </c>
      <c r="G30">
        <v>4</v>
      </c>
      <c r="H30">
        <v>40</v>
      </c>
      <c r="I30">
        <v>7</v>
      </c>
      <c r="J30">
        <v>325</v>
      </c>
      <c r="K30">
        <v>40</v>
      </c>
      <c r="L30">
        <v>432</v>
      </c>
      <c r="M30">
        <v>62</v>
      </c>
    </row>
    <row r="31" spans="1:13" x14ac:dyDescent="0.25">
      <c r="A31">
        <v>4</v>
      </c>
      <c r="B31">
        <v>225</v>
      </c>
      <c r="C31">
        <v>6</v>
      </c>
      <c r="D31">
        <v>81</v>
      </c>
      <c r="E31">
        <v>3</v>
      </c>
      <c r="F31">
        <v>154</v>
      </c>
      <c r="G31">
        <v>4</v>
      </c>
      <c r="H31">
        <v>35</v>
      </c>
      <c r="I31">
        <v>7</v>
      </c>
      <c r="J31">
        <v>329</v>
      </c>
      <c r="K31">
        <v>41</v>
      </c>
      <c r="L31">
        <v>376</v>
      </c>
      <c r="M31">
        <v>60</v>
      </c>
    </row>
    <row r="32" spans="1:13" x14ac:dyDescent="0.25">
      <c r="A32">
        <v>5</v>
      </c>
      <c r="B32">
        <v>292</v>
      </c>
      <c r="C32">
        <v>8</v>
      </c>
      <c r="D32">
        <v>100</v>
      </c>
      <c r="E32">
        <v>4</v>
      </c>
      <c r="F32">
        <v>203</v>
      </c>
      <c r="G32">
        <v>6</v>
      </c>
      <c r="H32">
        <v>57</v>
      </c>
      <c r="I32">
        <v>10</v>
      </c>
      <c r="J32">
        <v>464</v>
      </c>
      <c r="K32">
        <v>58</v>
      </c>
      <c r="L32">
        <v>321</v>
      </c>
      <c r="M32">
        <v>57</v>
      </c>
    </row>
    <row r="33" spans="1:13" x14ac:dyDescent="0.25">
      <c r="A33">
        <v>6</v>
      </c>
      <c r="B33">
        <v>271</v>
      </c>
      <c r="C33">
        <v>7</v>
      </c>
      <c r="D33">
        <v>96</v>
      </c>
      <c r="E33">
        <v>4</v>
      </c>
      <c r="F33">
        <v>181</v>
      </c>
      <c r="G33">
        <v>5</v>
      </c>
      <c r="H33">
        <v>56</v>
      </c>
      <c r="I33">
        <v>10</v>
      </c>
      <c r="J33">
        <v>420</v>
      </c>
      <c r="K33">
        <v>53</v>
      </c>
      <c r="L33">
        <v>287</v>
      </c>
      <c r="M33">
        <v>55</v>
      </c>
    </row>
    <row r="34" spans="1:13" x14ac:dyDescent="0.25">
      <c r="A34">
        <v>7</v>
      </c>
      <c r="B34">
        <v>285</v>
      </c>
      <c r="C34">
        <v>8</v>
      </c>
      <c r="D34">
        <v>95</v>
      </c>
      <c r="E34">
        <v>4</v>
      </c>
      <c r="F34">
        <v>191</v>
      </c>
      <c r="G34">
        <v>5</v>
      </c>
      <c r="H34">
        <v>47</v>
      </c>
      <c r="I34">
        <v>10</v>
      </c>
      <c r="J34">
        <v>411</v>
      </c>
      <c r="K34">
        <v>56</v>
      </c>
      <c r="L34">
        <v>254</v>
      </c>
      <c r="M34">
        <v>55</v>
      </c>
    </row>
    <row r="35" spans="1:13" x14ac:dyDescent="0.25">
      <c r="A35" t="s">
        <v>192</v>
      </c>
      <c r="B35">
        <v>260</v>
      </c>
      <c r="D35">
        <v>88</v>
      </c>
      <c r="F35">
        <v>175</v>
      </c>
      <c r="H35">
        <v>47</v>
      </c>
      <c r="J35">
        <v>378</v>
      </c>
      <c r="L35">
        <v>331</v>
      </c>
    </row>
    <row r="36" spans="1:13" x14ac:dyDescent="0.25">
      <c r="A36" t="s">
        <v>197</v>
      </c>
      <c r="B36">
        <v>25</v>
      </c>
      <c r="D36">
        <v>9</v>
      </c>
      <c r="F36">
        <v>18</v>
      </c>
      <c r="H36">
        <v>8</v>
      </c>
      <c r="J36">
        <v>56</v>
      </c>
      <c r="L36">
        <v>60</v>
      </c>
    </row>
    <row r="37" spans="1:13" x14ac:dyDescent="0.25">
      <c r="A37" t="s">
        <v>194</v>
      </c>
      <c r="B37">
        <v>0.09</v>
      </c>
      <c r="D37">
        <v>0.11</v>
      </c>
      <c r="F37">
        <v>0.1</v>
      </c>
      <c r="H37">
        <v>0.17</v>
      </c>
      <c r="J37">
        <v>0.15</v>
      </c>
      <c r="L37">
        <v>0.18</v>
      </c>
    </row>
    <row r="38" spans="1:13" x14ac:dyDescent="0.25">
      <c r="A38" t="s">
        <v>199</v>
      </c>
    </row>
    <row r="39" spans="1:13" x14ac:dyDescent="0.25">
      <c r="A39">
        <v>1</v>
      </c>
      <c r="B39">
        <v>182</v>
      </c>
      <c r="C39">
        <v>5</v>
      </c>
      <c r="D39">
        <v>67</v>
      </c>
      <c r="E39">
        <v>3</v>
      </c>
      <c r="F39">
        <v>168</v>
      </c>
      <c r="G39">
        <v>4</v>
      </c>
      <c r="H39">
        <v>33</v>
      </c>
      <c r="I39">
        <v>6</v>
      </c>
      <c r="J39">
        <v>315</v>
      </c>
      <c r="K39">
        <v>37</v>
      </c>
      <c r="L39">
        <v>364</v>
      </c>
      <c r="M39">
        <v>63</v>
      </c>
    </row>
    <row r="40" spans="1:13" x14ac:dyDescent="0.25">
      <c r="A40">
        <v>2</v>
      </c>
      <c r="B40">
        <v>224</v>
      </c>
      <c r="C40">
        <v>6</v>
      </c>
      <c r="D40">
        <v>77</v>
      </c>
      <c r="E40">
        <v>3</v>
      </c>
      <c r="F40">
        <v>201</v>
      </c>
      <c r="G40">
        <v>5</v>
      </c>
      <c r="H40">
        <v>41</v>
      </c>
      <c r="I40">
        <v>8</v>
      </c>
      <c r="J40">
        <v>375</v>
      </c>
      <c r="K40">
        <v>46</v>
      </c>
      <c r="L40">
        <v>308</v>
      </c>
      <c r="M40">
        <v>59</v>
      </c>
    </row>
    <row r="41" spans="1:13" x14ac:dyDescent="0.25">
      <c r="A41">
        <v>3</v>
      </c>
      <c r="B41">
        <v>181</v>
      </c>
      <c r="C41">
        <v>5</v>
      </c>
      <c r="D41">
        <v>67</v>
      </c>
      <c r="E41">
        <v>3</v>
      </c>
      <c r="F41">
        <v>172</v>
      </c>
      <c r="G41">
        <v>4</v>
      </c>
      <c r="H41">
        <v>33</v>
      </c>
      <c r="I41">
        <v>7</v>
      </c>
      <c r="J41">
        <v>356</v>
      </c>
      <c r="K41">
        <v>40</v>
      </c>
      <c r="L41">
        <v>346</v>
      </c>
      <c r="M41">
        <v>60</v>
      </c>
    </row>
    <row r="42" spans="1:13" x14ac:dyDescent="0.25">
      <c r="A42">
        <v>4</v>
      </c>
      <c r="B42">
        <v>211</v>
      </c>
      <c r="C42">
        <v>6</v>
      </c>
      <c r="D42">
        <v>82</v>
      </c>
      <c r="E42">
        <v>3</v>
      </c>
      <c r="F42">
        <v>200</v>
      </c>
      <c r="G42">
        <v>5</v>
      </c>
      <c r="H42">
        <v>42</v>
      </c>
      <c r="I42">
        <v>8</v>
      </c>
      <c r="J42">
        <v>379</v>
      </c>
      <c r="K42">
        <v>46</v>
      </c>
      <c r="L42">
        <v>301</v>
      </c>
      <c r="M42">
        <v>55</v>
      </c>
    </row>
    <row r="43" spans="1:13" x14ac:dyDescent="0.25">
      <c r="A43">
        <v>5</v>
      </c>
      <c r="B43">
        <v>217</v>
      </c>
      <c r="C43">
        <v>6</v>
      </c>
      <c r="D43">
        <v>81</v>
      </c>
      <c r="E43">
        <v>3</v>
      </c>
      <c r="F43">
        <v>199</v>
      </c>
      <c r="G43">
        <v>5</v>
      </c>
      <c r="H43">
        <v>41</v>
      </c>
      <c r="I43">
        <v>8</v>
      </c>
      <c r="J43">
        <v>364</v>
      </c>
      <c r="K43">
        <v>46</v>
      </c>
      <c r="L43">
        <v>290</v>
      </c>
      <c r="M43">
        <v>57</v>
      </c>
    </row>
    <row r="44" spans="1:13" x14ac:dyDescent="0.25">
      <c r="A44">
        <v>6</v>
      </c>
      <c r="B44">
        <v>187</v>
      </c>
      <c r="C44">
        <v>6</v>
      </c>
      <c r="D44">
        <v>69</v>
      </c>
      <c r="E44">
        <v>3</v>
      </c>
      <c r="F44">
        <v>170</v>
      </c>
      <c r="G44">
        <v>5</v>
      </c>
      <c r="H44">
        <v>36</v>
      </c>
      <c r="I44">
        <v>8</v>
      </c>
      <c r="J44">
        <v>323</v>
      </c>
      <c r="K44">
        <v>46</v>
      </c>
      <c r="L44">
        <v>249</v>
      </c>
      <c r="M44">
        <v>53</v>
      </c>
    </row>
    <row r="45" spans="1:13" x14ac:dyDescent="0.25">
      <c r="A45">
        <v>7</v>
      </c>
      <c r="B45">
        <v>195</v>
      </c>
      <c r="C45">
        <v>6</v>
      </c>
      <c r="D45">
        <v>67</v>
      </c>
      <c r="E45">
        <v>3</v>
      </c>
      <c r="F45">
        <v>177</v>
      </c>
      <c r="G45">
        <v>4</v>
      </c>
      <c r="H45">
        <v>42</v>
      </c>
      <c r="I45">
        <v>7</v>
      </c>
      <c r="J45">
        <v>383</v>
      </c>
      <c r="K45">
        <v>43</v>
      </c>
      <c r="L45">
        <v>296</v>
      </c>
      <c r="M45">
        <v>60</v>
      </c>
    </row>
    <row r="46" spans="1:13" x14ac:dyDescent="0.25">
      <c r="A46" t="s">
        <v>192</v>
      </c>
      <c r="B46">
        <v>200</v>
      </c>
      <c r="D46">
        <v>73</v>
      </c>
      <c r="F46">
        <v>184</v>
      </c>
      <c r="H46">
        <v>38</v>
      </c>
      <c r="J46">
        <v>357</v>
      </c>
      <c r="L46">
        <v>308</v>
      </c>
    </row>
    <row r="47" spans="1:13" x14ac:dyDescent="0.25">
      <c r="A47" t="s">
        <v>197</v>
      </c>
      <c r="B47">
        <v>18</v>
      </c>
      <c r="D47">
        <v>7</v>
      </c>
      <c r="F47">
        <v>15</v>
      </c>
      <c r="H47">
        <v>4</v>
      </c>
      <c r="J47">
        <v>27</v>
      </c>
      <c r="L47">
        <v>38</v>
      </c>
    </row>
    <row r="48" spans="1:13" x14ac:dyDescent="0.25">
      <c r="A48" t="s">
        <v>194</v>
      </c>
      <c r="B48">
        <v>0.09</v>
      </c>
      <c r="D48">
        <v>0.09</v>
      </c>
      <c r="F48">
        <v>0.08</v>
      </c>
      <c r="H48">
        <v>0.11</v>
      </c>
      <c r="J48">
        <v>0.08</v>
      </c>
      <c r="L48">
        <v>0.12</v>
      </c>
    </row>
    <row r="49" spans="1:13" x14ac:dyDescent="0.25">
      <c r="A49" t="s">
        <v>200</v>
      </c>
    </row>
    <row r="50" spans="1:13" x14ac:dyDescent="0.25">
      <c r="A50">
        <v>1</v>
      </c>
      <c r="B50">
        <v>441</v>
      </c>
      <c r="C50">
        <v>7</v>
      </c>
      <c r="D50">
        <v>19</v>
      </c>
      <c r="E50">
        <v>2</v>
      </c>
      <c r="F50">
        <v>184</v>
      </c>
      <c r="G50">
        <v>4</v>
      </c>
      <c r="H50">
        <v>71</v>
      </c>
      <c r="I50">
        <v>7</v>
      </c>
      <c r="J50">
        <v>372</v>
      </c>
      <c r="K50">
        <v>38</v>
      </c>
      <c r="L50">
        <v>437</v>
      </c>
      <c r="M50">
        <v>58</v>
      </c>
    </row>
    <row r="51" spans="1:13" x14ac:dyDescent="0.25">
      <c r="A51">
        <v>2</v>
      </c>
      <c r="B51">
        <v>409</v>
      </c>
      <c r="C51">
        <v>6</v>
      </c>
      <c r="D51">
        <v>17</v>
      </c>
      <c r="E51">
        <v>2</v>
      </c>
      <c r="F51">
        <v>172</v>
      </c>
      <c r="G51">
        <v>4</v>
      </c>
      <c r="H51">
        <v>101</v>
      </c>
      <c r="I51">
        <v>8</v>
      </c>
      <c r="J51">
        <v>367</v>
      </c>
      <c r="K51">
        <v>37</v>
      </c>
      <c r="L51">
        <v>356</v>
      </c>
      <c r="M51">
        <v>59</v>
      </c>
    </row>
    <row r="52" spans="1:13" x14ac:dyDescent="0.25">
      <c r="A52">
        <v>3</v>
      </c>
      <c r="B52">
        <v>407</v>
      </c>
      <c r="C52">
        <v>6</v>
      </c>
      <c r="D52">
        <v>17</v>
      </c>
      <c r="E52">
        <v>2</v>
      </c>
      <c r="F52">
        <v>175</v>
      </c>
      <c r="G52">
        <v>4</v>
      </c>
      <c r="H52">
        <v>66</v>
      </c>
      <c r="I52">
        <v>7</v>
      </c>
      <c r="J52">
        <v>388</v>
      </c>
      <c r="K52">
        <v>38</v>
      </c>
      <c r="L52">
        <v>435</v>
      </c>
      <c r="M52">
        <v>61</v>
      </c>
    </row>
    <row r="53" spans="1:13" x14ac:dyDescent="0.25">
      <c r="A53">
        <v>4</v>
      </c>
      <c r="B53">
        <v>383</v>
      </c>
      <c r="C53">
        <v>7</v>
      </c>
      <c r="D53">
        <v>16</v>
      </c>
      <c r="E53">
        <v>2</v>
      </c>
      <c r="F53">
        <v>165</v>
      </c>
      <c r="G53">
        <v>4</v>
      </c>
      <c r="H53">
        <v>59</v>
      </c>
      <c r="I53">
        <v>8</v>
      </c>
      <c r="J53">
        <v>321</v>
      </c>
      <c r="K53">
        <v>39</v>
      </c>
      <c r="L53">
        <v>300</v>
      </c>
      <c r="M53">
        <v>50</v>
      </c>
    </row>
    <row r="54" spans="1:13" x14ac:dyDescent="0.25">
      <c r="A54">
        <v>5</v>
      </c>
      <c r="B54">
        <v>517</v>
      </c>
      <c r="C54">
        <v>9</v>
      </c>
      <c r="D54">
        <v>24</v>
      </c>
      <c r="E54">
        <v>2</v>
      </c>
      <c r="F54">
        <v>225</v>
      </c>
      <c r="G54">
        <v>5</v>
      </c>
      <c r="H54">
        <v>86</v>
      </c>
      <c r="I54">
        <v>10</v>
      </c>
      <c r="J54">
        <v>511</v>
      </c>
      <c r="K54">
        <v>54</v>
      </c>
      <c r="L54">
        <v>302</v>
      </c>
      <c r="M54">
        <v>53</v>
      </c>
    </row>
    <row r="55" spans="1:13" x14ac:dyDescent="0.25">
      <c r="A55">
        <v>6</v>
      </c>
      <c r="B55">
        <v>467</v>
      </c>
      <c r="C55">
        <v>7</v>
      </c>
      <c r="D55">
        <v>23</v>
      </c>
      <c r="E55">
        <v>2</v>
      </c>
      <c r="F55">
        <v>201</v>
      </c>
      <c r="G55">
        <v>4</v>
      </c>
      <c r="H55">
        <v>101</v>
      </c>
      <c r="I55">
        <v>9</v>
      </c>
      <c r="J55">
        <v>391</v>
      </c>
      <c r="K55">
        <v>41</v>
      </c>
      <c r="L55">
        <v>369</v>
      </c>
      <c r="M55">
        <v>57</v>
      </c>
    </row>
    <row r="56" spans="1:13" x14ac:dyDescent="0.25">
      <c r="A56">
        <v>7</v>
      </c>
      <c r="B56">
        <v>474</v>
      </c>
      <c r="C56">
        <v>9</v>
      </c>
      <c r="D56">
        <v>23</v>
      </c>
      <c r="E56">
        <v>2</v>
      </c>
      <c r="F56">
        <v>203</v>
      </c>
      <c r="G56">
        <v>5</v>
      </c>
      <c r="H56">
        <v>79</v>
      </c>
      <c r="I56">
        <v>10</v>
      </c>
      <c r="J56">
        <v>409</v>
      </c>
      <c r="K56">
        <v>52</v>
      </c>
      <c r="L56">
        <v>257</v>
      </c>
      <c r="M56">
        <v>47</v>
      </c>
    </row>
    <row r="57" spans="1:13" x14ac:dyDescent="0.25">
      <c r="A57" t="s">
        <v>192</v>
      </c>
      <c r="B57">
        <v>443</v>
      </c>
      <c r="D57">
        <v>20</v>
      </c>
      <c r="F57">
        <v>189</v>
      </c>
      <c r="H57">
        <v>80</v>
      </c>
      <c r="J57">
        <v>394</v>
      </c>
      <c r="L57">
        <v>351</v>
      </c>
    </row>
    <row r="58" spans="1:13" x14ac:dyDescent="0.25">
      <c r="A58" t="s">
        <v>197</v>
      </c>
      <c r="B58">
        <v>47</v>
      </c>
      <c r="D58">
        <v>3</v>
      </c>
      <c r="F58">
        <v>21</v>
      </c>
      <c r="H58">
        <v>16</v>
      </c>
      <c r="J58">
        <v>59</v>
      </c>
      <c r="L58">
        <v>69</v>
      </c>
    </row>
    <row r="59" spans="1:13" x14ac:dyDescent="0.25">
      <c r="A59" t="s">
        <v>194</v>
      </c>
      <c r="B59">
        <v>0.11</v>
      </c>
      <c r="D59">
        <v>0.17</v>
      </c>
      <c r="F59">
        <v>0.11</v>
      </c>
      <c r="H59">
        <v>0.2</v>
      </c>
      <c r="J59">
        <v>0.15</v>
      </c>
      <c r="L59">
        <v>0.2</v>
      </c>
    </row>
    <row r="60" spans="1:13" x14ac:dyDescent="0.25">
      <c r="A60" t="s">
        <v>201</v>
      </c>
    </row>
    <row r="61" spans="1:13" x14ac:dyDescent="0.25">
      <c r="A61">
        <v>1</v>
      </c>
      <c r="B61">
        <v>284</v>
      </c>
      <c r="C61">
        <v>6</v>
      </c>
      <c r="D61">
        <v>121</v>
      </c>
      <c r="E61">
        <v>4</v>
      </c>
      <c r="F61">
        <v>96</v>
      </c>
      <c r="G61">
        <v>3</v>
      </c>
      <c r="H61">
        <v>34</v>
      </c>
      <c r="I61">
        <v>7</v>
      </c>
      <c r="J61">
        <v>334</v>
      </c>
      <c r="K61">
        <v>41</v>
      </c>
      <c r="L61">
        <v>969</v>
      </c>
      <c r="M61">
        <v>73</v>
      </c>
    </row>
    <row r="62" spans="1:13" x14ac:dyDescent="0.25">
      <c r="A62">
        <v>2</v>
      </c>
      <c r="B62">
        <v>258</v>
      </c>
      <c r="C62">
        <v>5</v>
      </c>
      <c r="D62">
        <v>108</v>
      </c>
      <c r="E62">
        <v>3</v>
      </c>
      <c r="F62">
        <v>87</v>
      </c>
      <c r="G62">
        <v>3</v>
      </c>
      <c r="H62">
        <v>33</v>
      </c>
      <c r="I62">
        <v>6</v>
      </c>
      <c r="J62">
        <v>307</v>
      </c>
      <c r="K62">
        <v>34</v>
      </c>
      <c r="L62">
        <v>1126</v>
      </c>
      <c r="M62">
        <v>77</v>
      </c>
    </row>
    <row r="63" spans="1:13" x14ac:dyDescent="0.25">
      <c r="A63">
        <v>3</v>
      </c>
      <c r="B63">
        <v>266</v>
      </c>
      <c r="C63">
        <v>6</v>
      </c>
      <c r="D63">
        <v>109</v>
      </c>
      <c r="E63">
        <v>3</v>
      </c>
      <c r="F63">
        <v>92</v>
      </c>
      <c r="G63">
        <v>3</v>
      </c>
      <c r="H63">
        <v>31</v>
      </c>
      <c r="I63">
        <v>6</v>
      </c>
      <c r="J63">
        <v>382</v>
      </c>
      <c r="K63">
        <v>38</v>
      </c>
      <c r="L63">
        <v>1212</v>
      </c>
      <c r="M63">
        <v>83</v>
      </c>
    </row>
    <row r="64" spans="1:13" x14ac:dyDescent="0.25">
      <c r="A64">
        <v>4</v>
      </c>
      <c r="B64">
        <v>261</v>
      </c>
      <c r="C64">
        <v>6</v>
      </c>
      <c r="D64">
        <v>105</v>
      </c>
      <c r="E64">
        <v>3</v>
      </c>
      <c r="F64">
        <v>84</v>
      </c>
      <c r="G64">
        <v>3</v>
      </c>
      <c r="H64">
        <v>33</v>
      </c>
      <c r="I64">
        <v>6</v>
      </c>
      <c r="J64">
        <v>315</v>
      </c>
      <c r="K64">
        <v>36</v>
      </c>
      <c r="L64">
        <v>1147</v>
      </c>
      <c r="M64">
        <v>75</v>
      </c>
    </row>
    <row r="65" spans="1:13" x14ac:dyDescent="0.25">
      <c r="A65">
        <v>5</v>
      </c>
      <c r="B65">
        <v>257</v>
      </c>
      <c r="C65">
        <v>6</v>
      </c>
      <c r="D65">
        <v>106</v>
      </c>
      <c r="E65">
        <v>3</v>
      </c>
      <c r="F65">
        <v>90</v>
      </c>
      <c r="G65">
        <v>3</v>
      </c>
      <c r="H65">
        <v>31</v>
      </c>
      <c r="I65">
        <v>6</v>
      </c>
      <c r="J65">
        <v>377</v>
      </c>
      <c r="K65">
        <v>38</v>
      </c>
      <c r="L65">
        <v>1139</v>
      </c>
      <c r="M65">
        <v>77</v>
      </c>
    </row>
    <row r="66" spans="1:13" x14ac:dyDescent="0.25">
      <c r="A66">
        <v>6</v>
      </c>
      <c r="B66">
        <v>255</v>
      </c>
      <c r="C66">
        <v>6</v>
      </c>
      <c r="D66">
        <v>101</v>
      </c>
      <c r="E66">
        <v>3</v>
      </c>
      <c r="F66">
        <v>85</v>
      </c>
      <c r="G66">
        <v>3</v>
      </c>
      <c r="H66">
        <v>29</v>
      </c>
      <c r="I66">
        <v>6</v>
      </c>
      <c r="J66">
        <v>320</v>
      </c>
      <c r="K66">
        <v>37</v>
      </c>
      <c r="L66">
        <v>1036</v>
      </c>
      <c r="M66">
        <v>76</v>
      </c>
    </row>
    <row r="67" spans="1:13" x14ac:dyDescent="0.25">
      <c r="A67">
        <v>7</v>
      </c>
      <c r="B67">
        <v>252</v>
      </c>
      <c r="C67">
        <v>6</v>
      </c>
      <c r="D67">
        <v>102</v>
      </c>
      <c r="E67">
        <v>3</v>
      </c>
      <c r="F67">
        <v>86</v>
      </c>
      <c r="G67">
        <v>3</v>
      </c>
      <c r="H67">
        <v>26</v>
      </c>
      <c r="I67">
        <v>6</v>
      </c>
      <c r="J67">
        <v>269</v>
      </c>
      <c r="K67">
        <v>35</v>
      </c>
      <c r="L67">
        <v>1067</v>
      </c>
      <c r="M67">
        <v>75</v>
      </c>
    </row>
    <row r="68" spans="1:13" x14ac:dyDescent="0.25">
      <c r="A68" t="s">
        <v>192</v>
      </c>
      <c r="B68">
        <v>262</v>
      </c>
      <c r="D68">
        <v>107</v>
      </c>
      <c r="F68">
        <v>89</v>
      </c>
      <c r="H68">
        <v>31</v>
      </c>
      <c r="J68">
        <v>329</v>
      </c>
      <c r="L68">
        <v>1099</v>
      </c>
    </row>
    <row r="69" spans="1:13" x14ac:dyDescent="0.25">
      <c r="A69" t="s">
        <v>197</v>
      </c>
      <c r="B69">
        <v>11</v>
      </c>
      <c r="D69">
        <v>7</v>
      </c>
      <c r="F69">
        <v>4</v>
      </c>
      <c r="H69">
        <v>3</v>
      </c>
      <c r="J69">
        <v>40</v>
      </c>
      <c r="L69">
        <v>81</v>
      </c>
    </row>
    <row r="70" spans="1:13" x14ac:dyDescent="0.25">
      <c r="A70" t="s">
        <v>194</v>
      </c>
      <c r="B70">
        <v>0.04</v>
      </c>
      <c r="D70">
        <v>0.06</v>
      </c>
      <c r="F70">
        <v>0.05</v>
      </c>
      <c r="H70">
        <v>0.09</v>
      </c>
      <c r="J70">
        <v>0.12</v>
      </c>
      <c r="L70"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B8AF-EED6-48BE-9B87-E1B852806FA5}">
  <dimension ref="A1:X5"/>
  <sheetViews>
    <sheetView workbookViewId="0">
      <selection activeCell="M7" sqref="M7"/>
    </sheetView>
  </sheetViews>
  <sheetFormatPr defaultRowHeight="15" x14ac:dyDescent="0.25"/>
  <cols>
    <col min="2" max="5" width="4.7109375" customWidth="1"/>
    <col min="6" max="6" width="6" bestFit="1" customWidth="1"/>
    <col min="7" max="24" width="4.7109375" customWidth="1"/>
  </cols>
  <sheetData>
    <row r="1" spans="1:24" x14ac:dyDescent="0.25">
      <c r="A1" s="2" t="s">
        <v>216</v>
      </c>
      <c r="B1" s="2" t="s">
        <v>219</v>
      </c>
      <c r="C1" s="2" t="s">
        <v>220</v>
      </c>
      <c r="D1" s="2" t="s">
        <v>221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222</v>
      </c>
      <c r="J1" s="2" t="s">
        <v>28</v>
      </c>
      <c r="K1" s="2" t="s">
        <v>25</v>
      </c>
      <c r="L1" s="2" t="s">
        <v>59</v>
      </c>
      <c r="M1" s="2" t="s">
        <v>19</v>
      </c>
      <c r="N1" s="2" t="s">
        <v>58</v>
      </c>
      <c r="O1" s="2" t="s">
        <v>223</v>
      </c>
      <c r="P1" s="2" t="s">
        <v>224</v>
      </c>
      <c r="Q1" s="2" t="s">
        <v>225</v>
      </c>
      <c r="R1" s="2" t="s">
        <v>226</v>
      </c>
      <c r="S1" s="2" t="s">
        <v>227</v>
      </c>
      <c r="T1" s="2" t="s">
        <v>228</v>
      </c>
      <c r="U1" s="2" t="s">
        <v>229</v>
      </c>
      <c r="V1" s="2" t="s">
        <v>230</v>
      </c>
      <c r="W1" s="2" t="s">
        <v>231</v>
      </c>
      <c r="X1" s="2" t="s">
        <v>232</v>
      </c>
    </row>
    <row r="2" spans="1:24" x14ac:dyDescent="0.25">
      <c r="A2" s="9" t="s">
        <v>233</v>
      </c>
      <c r="B2">
        <v>112</v>
      </c>
      <c r="C2">
        <v>215</v>
      </c>
      <c r="D2">
        <v>1303</v>
      </c>
      <c r="E2">
        <v>1125</v>
      </c>
      <c r="F2">
        <v>28217</v>
      </c>
      <c r="G2">
        <v>462</v>
      </c>
      <c r="H2">
        <v>277</v>
      </c>
      <c r="I2">
        <v>38</v>
      </c>
      <c r="J2">
        <v>289</v>
      </c>
      <c r="K2">
        <v>0.5</v>
      </c>
      <c r="L2">
        <v>157</v>
      </c>
      <c r="M2">
        <v>1456</v>
      </c>
      <c r="N2">
        <v>79</v>
      </c>
      <c r="O2">
        <v>17</v>
      </c>
      <c r="P2">
        <v>2</v>
      </c>
      <c r="Q2">
        <v>107</v>
      </c>
      <c r="R2">
        <v>221</v>
      </c>
      <c r="S2">
        <v>22</v>
      </c>
      <c r="T2">
        <v>83</v>
      </c>
      <c r="U2">
        <v>28</v>
      </c>
      <c r="V2">
        <v>4</v>
      </c>
      <c r="W2">
        <v>37</v>
      </c>
      <c r="X2">
        <v>14</v>
      </c>
    </row>
    <row r="3" spans="1:24" x14ac:dyDescent="0.25">
      <c r="A3" s="9"/>
      <c r="B3">
        <v>114</v>
      </c>
      <c r="C3">
        <v>212</v>
      </c>
      <c r="D3">
        <v>1675</v>
      </c>
      <c r="E3">
        <v>1130</v>
      </c>
      <c r="F3">
        <v>28330</v>
      </c>
      <c r="G3">
        <v>460</v>
      </c>
      <c r="H3">
        <v>269</v>
      </c>
      <c r="I3">
        <v>39</v>
      </c>
      <c r="J3">
        <v>297</v>
      </c>
      <c r="K3">
        <v>0.5</v>
      </c>
      <c r="L3">
        <v>157</v>
      </c>
      <c r="M3">
        <v>1459</v>
      </c>
      <c r="N3">
        <v>75</v>
      </c>
      <c r="O3">
        <v>18</v>
      </c>
      <c r="P3">
        <v>1.9</v>
      </c>
      <c r="Q3">
        <v>105</v>
      </c>
      <c r="R3">
        <v>224</v>
      </c>
      <c r="S3">
        <v>21</v>
      </c>
      <c r="T3">
        <v>80</v>
      </c>
      <c r="U3">
        <v>28</v>
      </c>
      <c r="V3">
        <v>4.0999999999999996</v>
      </c>
      <c r="W3">
        <v>38</v>
      </c>
      <c r="X3">
        <v>14</v>
      </c>
    </row>
    <row r="4" spans="1:24" x14ac:dyDescent="0.25">
      <c r="A4" s="1" t="s">
        <v>217</v>
      </c>
      <c r="B4">
        <v>72</v>
      </c>
      <c r="C4">
        <v>32</v>
      </c>
      <c r="D4">
        <v>5074</v>
      </c>
      <c r="E4">
        <v>1274</v>
      </c>
      <c r="F4">
        <v>12665</v>
      </c>
      <c r="G4">
        <v>307</v>
      </c>
      <c r="H4">
        <v>55</v>
      </c>
      <c r="I4">
        <v>10</v>
      </c>
      <c r="J4">
        <v>241</v>
      </c>
      <c r="K4">
        <v>33</v>
      </c>
      <c r="L4">
        <v>32</v>
      </c>
      <c r="M4">
        <v>355</v>
      </c>
      <c r="N4">
        <v>20</v>
      </c>
      <c r="O4">
        <v>12</v>
      </c>
      <c r="P4">
        <v>306</v>
      </c>
      <c r="Q4">
        <v>38</v>
      </c>
      <c r="R4">
        <v>73</v>
      </c>
      <c r="S4">
        <v>6.3</v>
      </c>
      <c r="T4">
        <v>23</v>
      </c>
      <c r="U4">
        <v>6.9</v>
      </c>
      <c r="V4">
        <v>1.4</v>
      </c>
      <c r="W4">
        <v>27</v>
      </c>
      <c r="X4">
        <v>8.9</v>
      </c>
    </row>
    <row r="5" spans="1:24" x14ac:dyDescent="0.25">
      <c r="A5" s="1" t="s">
        <v>218</v>
      </c>
      <c r="B5">
        <v>91</v>
      </c>
      <c r="C5">
        <v>64</v>
      </c>
      <c r="D5">
        <v>2972</v>
      </c>
      <c r="E5">
        <v>453</v>
      </c>
      <c r="F5">
        <v>8681</v>
      </c>
      <c r="G5">
        <v>476</v>
      </c>
      <c r="H5">
        <v>87</v>
      </c>
      <c r="I5">
        <v>3</v>
      </c>
      <c r="J5">
        <v>192</v>
      </c>
      <c r="K5">
        <v>16</v>
      </c>
      <c r="L5">
        <v>58</v>
      </c>
      <c r="M5">
        <v>305</v>
      </c>
      <c r="N5">
        <v>36</v>
      </c>
      <c r="O5">
        <v>8.6</v>
      </c>
      <c r="P5">
        <v>54</v>
      </c>
      <c r="Q5">
        <v>31</v>
      </c>
      <c r="R5">
        <v>67</v>
      </c>
      <c r="S5">
        <v>6.9</v>
      </c>
      <c r="T5">
        <v>29</v>
      </c>
      <c r="U5">
        <v>7.5</v>
      </c>
      <c r="V5">
        <v>2</v>
      </c>
      <c r="W5">
        <v>25</v>
      </c>
      <c r="X5">
        <v>7.7</v>
      </c>
    </row>
  </sheetData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6383-4B37-4258-B2F4-8418071305EC}">
  <dimension ref="A1:L18"/>
  <sheetViews>
    <sheetView workbookViewId="0">
      <selection activeCell="Q22" sqref="Q22"/>
    </sheetView>
  </sheetViews>
  <sheetFormatPr defaultColWidth="9" defaultRowHeight="15" x14ac:dyDescent="0.25"/>
  <cols>
    <col min="1" max="1" width="23" bestFit="1" customWidth="1"/>
    <col min="2" max="2" width="16.140625" bestFit="1" customWidth="1"/>
    <col min="3" max="3" width="7.7109375" bestFit="1" customWidth="1"/>
    <col min="4" max="4" width="7.7109375" customWidth="1"/>
    <col min="5" max="5" width="3.85546875" bestFit="1" customWidth="1"/>
    <col min="6" max="6" width="3.85546875" customWidth="1"/>
    <col min="7" max="7" width="4.85546875" bestFit="1" customWidth="1"/>
    <col min="8" max="8" width="4.85546875" customWidth="1"/>
    <col min="9" max="12" width="4.85546875" bestFit="1" customWidth="1"/>
    <col min="13" max="14" width="3.85546875" bestFit="1" customWidth="1"/>
    <col min="15" max="20" width="4.85546875" bestFit="1" customWidth="1"/>
    <col min="21" max="21" width="3.85546875" bestFit="1" customWidth="1"/>
  </cols>
  <sheetData>
    <row r="1" spans="1:12" x14ac:dyDescent="0.25">
      <c r="A1" s="2" t="s">
        <v>235</v>
      </c>
      <c r="B1" s="2" t="s">
        <v>236</v>
      </c>
      <c r="C1" s="2" t="s">
        <v>58</v>
      </c>
      <c r="D1" s="2"/>
      <c r="E1" s="2" t="s">
        <v>19</v>
      </c>
      <c r="F1" s="2"/>
      <c r="G1" s="2" t="s">
        <v>25</v>
      </c>
      <c r="H1" s="2"/>
      <c r="I1" s="2" t="s">
        <v>28</v>
      </c>
      <c r="J1" s="2"/>
      <c r="K1" s="2" t="s">
        <v>21</v>
      </c>
      <c r="L1" s="2"/>
    </row>
    <row r="2" spans="1:12" x14ac:dyDescent="0.25">
      <c r="A2" s="1" t="s">
        <v>256</v>
      </c>
      <c r="B2" t="s">
        <v>237</v>
      </c>
      <c r="C2">
        <v>20</v>
      </c>
      <c r="D2">
        <v>1</v>
      </c>
      <c r="E2">
        <v>77</v>
      </c>
      <c r="F2">
        <v>1</v>
      </c>
      <c r="G2">
        <v>16</v>
      </c>
      <c r="H2">
        <v>1</v>
      </c>
      <c r="I2">
        <v>181</v>
      </c>
      <c r="J2">
        <v>2</v>
      </c>
      <c r="K2">
        <v>6040</v>
      </c>
      <c r="L2">
        <v>70</v>
      </c>
    </row>
    <row r="3" spans="1:12" x14ac:dyDescent="0.25">
      <c r="A3" s="1" t="s">
        <v>238</v>
      </c>
      <c r="B3" t="s">
        <v>54</v>
      </c>
      <c r="I3">
        <v>209</v>
      </c>
      <c r="J3">
        <v>10</v>
      </c>
      <c r="K3">
        <v>6110</v>
      </c>
      <c r="L3">
        <v>100</v>
      </c>
    </row>
    <row r="4" spans="1:12" x14ac:dyDescent="0.25">
      <c r="A4" s="1" t="s">
        <v>239</v>
      </c>
      <c r="B4" t="s">
        <v>240</v>
      </c>
      <c r="C4">
        <v>25</v>
      </c>
      <c r="E4">
        <v>70</v>
      </c>
      <c r="G4">
        <v>12</v>
      </c>
      <c r="I4">
        <v>153</v>
      </c>
      <c r="K4">
        <v>6650</v>
      </c>
    </row>
    <row r="5" spans="1:12" x14ac:dyDescent="0.25">
      <c r="A5" s="1" t="s">
        <v>241</v>
      </c>
      <c r="B5" t="s">
        <v>54</v>
      </c>
      <c r="E5">
        <v>78</v>
      </c>
      <c r="F5">
        <v>1</v>
      </c>
      <c r="G5">
        <v>19</v>
      </c>
      <c r="H5">
        <v>3</v>
      </c>
      <c r="I5">
        <v>180</v>
      </c>
      <c r="J5">
        <v>3</v>
      </c>
      <c r="K5">
        <v>6800</v>
      </c>
      <c r="L5">
        <v>850</v>
      </c>
    </row>
    <row r="6" spans="1:12" x14ac:dyDescent="0.25">
      <c r="A6" s="1" t="s">
        <v>242</v>
      </c>
      <c r="B6" t="s">
        <v>240</v>
      </c>
      <c r="C6">
        <v>25</v>
      </c>
      <c r="D6">
        <v>1</v>
      </c>
      <c r="E6">
        <v>69</v>
      </c>
      <c r="F6">
        <v>1</v>
      </c>
      <c r="G6">
        <v>12</v>
      </c>
      <c r="H6">
        <v>1</v>
      </c>
      <c r="I6">
        <v>176</v>
      </c>
      <c r="J6">
        <v>20</v>
      </c>
      <c r="K6">
        <v>5760</v>
      </c>
      <c r="L6">
        <v>770</v>
      </c>
    </row>
    <row r="7" spans="1:12" x14ac:dyDescent="0.25">
      <c r="A7" s="1" t="s">
        <v>243</v>
      </c>
      <c r="B7" t="s">
        <v>244</v>
      </c>
      <c r="C7">
        <v>21</v>
      </c>
      <c r="D7">
        <v>3</v>
      </c>
      <c r="E7">
        <v>71</v>
      </c>
      <c r="F7">
        <v>9</v>
      </c>
      <c r="G7">
        <v>13</v>
      </c>
      <c r="H7">
        <v>1</v>
      </c>
      <c r="I7">
        <v>192</v>
      </c>
      <c r="J7">
        <v>18</v>
      </c>
      <c r="K7">
        <v>5120</v>
      </c>
      <c r="L7">
        <v>1230</v>
      </c>
    </row>
    <row r="8" spans="1:12" x14ac:dyDescent="0.25">
      <c r="A8" s="1" t="s">
        <v>258</v>
      </c>
      <c r="B8" t="s">
        <v>245</v>
      </c>
      <c r="C8">
        <v>24</v>
      </c>
      <c r="D8">
        <v>6</v>
      </c>
      <c r="E8">
        <v>83</v>
      </c>
      <c r="F8">
        <v>6</v>
      </c>
      <c r="G8">
        <v>24</v>
      </c>
      <c r="H8">
        <v>4</v>
      </c>
      <c r="I8">
        <v>204</v>
      </c>
      <c r="J8">
        <v>16</v>
      </c>
      <c r="K8">
        <v>9000</v>
      </c>
      <c r="L8">
        <v>800</v>
      </c>
    </row>
    <row r="9" spans="1:12" x14ac:dyDescent="0.25">
      <c r="A9" s="1" t="s">
        <v>257</v>
      </c>
      <c r="B9" t="s">
        <v>245</v>
      </c>
      <c r="E9">
        <v>71</v>
      </c>
      <c r="F9">
        <v>3</v>
      </c>
      <c r="G9">
        <v>9</v>
      </c>
      <c r="H9">
        <v>2</v>
      </c>
      <c r="I9">
        <v>184</v>
      </c>
      <c r="J9">
        <v>6</v>
      </c>
      <c r="K9">
        <v>4800</v>
      </c>
      <c r="L9">
        <v>140</v>
      </c>
    </row>
    <row r="10" spans="1:12" x14ac:dyDescent="0.25">
      <c r="A10" s="1" t="s">
        <v>246</v>
      </c>
      <c r="B10" t="s">
        <v>245</v>
      </c>
      <c r="C10">
        <v>20</v>
      </c>
      <c r="E10">
        <v>83</v>
      </c>
      <c r="G10">
        <v>12</v>
      </c>
      <c r="I10">
        <v>180</v>
      </c>
      <c r="K10">
        <v>5870</v>
      </c>
    </row>
    <row r="11" spans="1:12" x14ac:dyDescent="0.25">
      <c r="A11" s="1" t="s">
        <v>247</v>
      </c>
      <c r="B11" t="s">
        <v>54</v>
      </c>
      <c r="E11">
        <v>73</v>
      </c>
      <c r="I11">
        <v>184</v>
      </c>
      <c r="K11">
        <v>5642</v>
      </c>
    </row>
    <row r="12" spans="1:12" x14ac:dyDescent="0.25">
      <c r="A12" s="1" t="s">
        <v>247</v>
      </c>
      <c r="B12" t="s">
        <v>248</v>
      </c>
      <c r="E12">
        <v>50</v>
      </c>
      <c r="F12">
        <v>17</v>
      </c>
      <c r="K12">
        <v>4370</v>
      </c>
      <c r="L12">
        <v>330</v>
      </c>
    </row>
    <row r="13" spans="1:12" x14ac:dyDescent="0.25">
      <c r="A13" s="1" t="s">
        <v>249</v>
      </c>
      <c r="B13" t="s">
        <v>250</v>
      </c>
      <c r="C13">
        <v>22</v>
      </c>
      <c r="D13">
        <v>2</v>
      </c>
      <c r="E13">
        <v>70</v>
      </c>
      <c r="F13">
        <v>1</v>
      </c>
      <c r="G13">
        <v>10</v>
      </c>
      <c r="H13">
        <v>1</v>
      </c>
      <c r="I13">
        <v>179</v>
      </c>
      <c r="J13">
        <v>5</v>
      </c>
    </row>
    <row r="14" spans="1:12" x14ac:dyDescent="0.25">
      <c r="A14" s="1" t="s">
        <v>247</v>
      </c>
      <c r="B14" t="s">
        <v>251</v>
      </c>
      <c r="C14">
        <v>32</v>
      </c>
      <c r="D14">
        <v>6</v>
      </c>
      <c r="E14">
        <v>73</v>
      </c>
      <c r="F14">
        <v>9</v>
      </c>
      <c r="G14">
        <v>13</v>
      </c>
      <c r="H14">
        <v>3</v>
      </c>
      <c r="I14">
        <v>183</v>
      </c>
      <c r="J14">
        <v>18</v>
      </c>
      <c r="K14">
        <v>4600</v>
      </c>
      <c r="L14">
        <v>170</v>
      </c>
    </row>
    <row r="15" spans="1:12" x14ac:dyDescent="0.25">
      <c r="A15" s="1" t="s">
        <v>247</v>
      </c>
      <c r="B15" t="s">
        <v>252</v>
      </c>
      <c r="K15">
        <v>4890</v>
      </c>
      <c r="L15">
        <v>325</v>
      </c>
    </row>
    <row r="16" spans="1:12" x14ac:dyDescent="0.25">
      <c r="A16" s="1" t="s">
        <v>253</v>
      </c>
      <c r="B16" t="s">
        <v>244</v>
      </c>
      <c r="C16">
        <v>25</v>
      </c>
      <c r="D16">
        <v>1</v>
      </c>
      <c r="E16">
        <v>70</v>
      </c>
      <c r="F16">
        <v>5</v>
      </c>
      <c r="G16">
        <v>9</v>
      </c>
      <c r="H16">
        <v>1</v>
      </c>
      <c r="I16">
        <v>188</v>
      </c>
      <c r="J16">
        <v>6</v>
      </c>
      <c r="K16">
        <v>5600</v>
      </c>
      <c r="L16">
        <v>500</v>
      </c>
    </row>
    <row r="17" spans="1:12" x14ac:dyDescent="0.25">
      <c r="A17" s="1" t="s">
        <v>254</v>
      </c>
      <c r="C17">
        <v>24</v>
      </c>
      <c r="D17">
        <v>4</v>
      </c>
      <c r="E17">
        <v>72</v>
      </c>
      <c r="F17">
        <v>8</v>
      </c>
      <c r="G17">
        <v>14</v>
      </c>
      <c r="H17">
        <v>5</v>
      </c>
      <c r="I17">
        <v>184</v>
      </c>
      <c r="J17">
        <v>14</v>
      </c>
      <c r="K17">
        <v>5804</v>
      </c>
      <c r="L17">
        <v>1175</v>
      </c>
    </row>
    <row r="18" spans="1:12" x14ac:dyDescent="0.25">
      <c r="A18" s="1" t="s">
        <v>255</v>
      </c>
      <c r="B18" t="s">
        <v>52</v>
      </c>
      <c r="C18">
        <v>20</v>
      </c>
      <c r="D18">
        <v>1</v>
      </c>
      <c r="E18">
        <v>64</v>
      </c>
      <c r="F18">
        <v>4</v>
      </c>
      <c r="G18">
        <v>14</v>
      </c>
      <c r="H18">
        <v>2</v>
      </c>
      <c r="I18">
        <v>190</v>
      </c>
      <c r="J18">
        <v>3</v>
      </c>
      <c r="K18">
        <v>5700</v>
      </c>
      <c r="L18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FAA1-9F53-4FBE-B861-3A26F174B5D1}">
  <dimension ref="A1:P12"/>
  <sheetViews>
    <sheetView workbookViewId="0">
      <selection activeCell="S6" sqref="S6"/>
    </sheetView>
  </sheetViews>
  <sheetFormatPr defaultRowHeight="15" x14ac:dyDescent="0.25"/>
  <cols>
    <col min="1" max="1" width="20" bestFit="1" customWidth="1"/>
    <col min="2" max="2" width="6" bestFit="1" customWidth="1"/>
    <col min="3" max="3" width="7" bestFit="1" customWidth="1"/>
    <col min="4" max="4" width="6" bestFit="1" customWidth="1"/>
    <col min="5" max="6" width="5" bestFit="1" customWidth="1"/>
    <col min="7" max="7" width="4.42578125" customWidth="1"/>
    <col min="8" max="8" width="6" bestFit="1" customWidth="1"/>
    <col min="9" max="11" width="4.42578125" customWidth="1"/>
    <col min="12" max="12" width="4" bestFit="1" customWidth="1"/>
    <col min="13" max="13" width="5" bestFit="1" customWidth="1"/>
    <col min="14" max="14" width="3.5703125" bestFit="1" customWidth="1"/>
    <col min="15" max="15" width="4" bestFit="1" customWidth="1"/>
    <col min="16" max="16" width="3.28515625" bestFit="1" customWidth="1"/>
  </cols>
  <sheetData>
    <row r="1" spans="1:16" x14ac:dyDescent="0.25">
      <c r="A1" s="5" t="s">
        <v>27</v>
      </c>
      <c r="B1" s="6" t="s">
        <v>260</v>
      </c>
      <c r="C1" s="6" t="s">
        <v>261</v>
      </c>
      <c r="D1" s="6" t="s">
        <v>262</v>
      </c>
      <c r="E1" s="6" t="s">
        <v>221</v>
      </c>
      <c r="F1" s="6" t="s">
        <v>20</v>
      </c>
      <c r="G1" s="6" t="s">
        <v>22</v>
      </c>
      <c r="H1" s="6" t="s">
        <v>21</v>
      </c>
      <c r="I1" s="6" t="s">
        <v>23</v>
      </c>
      <c r="J1" s="6" t="s">
        <v>28</v>
      </c>
      <c r="K1" s="6" t="s">
        <v>25</v>
      </c>
      <c r="L1" s="6" t="s">
        <v>59</v>
      </c>
      <c r="M1" s="6" t="s">
        <v>19</v>
      </c>
      <c r="N1" s="6" t="s">
        <v>58</v>
      </c>
      <c r="O1" s="6" t="s">
        <v>224</v>
      </c>
      <c r="P1" s="6" t="s">
        <v>24</v>
      </c>
    </row>
    <row r="2" spans="1:16" x14ac:dyDescent="0.25">
      <c r="A2" s="7" t="s">
        <v>107</v>
      </c>
      <c r="B2" s="3">
        <v>69730.088382769696</v>
      </c>
      <c r="C2" s="3">
        <v>357057.16937997058</v>
      </c>
      <c r="D2" s="3">
        <v>38773.488005442639</v>
      </c>
      <c r="E2" s="3">
        <v>3471.298765998687</v>
      </c>
      <c r="F2" s="3">
        <v>1211.621585003762</v>
      </c>
      <c r="G2" s="3">
        <v>680.96683523445211</v>
      </c>
      <c r="H2" s="3">
        <v>30818.156305536591</v>
      </c>
      <c r="I2" s="3">
        <v>207.98542630603993</v>
      </c>
      <c r="J2" s="3">
        <v>224.96868194361656</v>
      </c>
      <c r="K2" s="3">
        <v>0.12667985103256543</v>
      </c>
      <c r="L2" s="3">
        <v>101.33333333333333</v>
      </c>
      <c r="M2" s="3">
        <v>1241.7678478690209</v>
      </c>
      <c r="N2" s="3">
        <v>59.239290269814582</v>
      </c>
      <c r="O2" s="3">
        <v>17.180327868852459</v>
      </c>
      <c r="P2" s="3">
        <v>36.499147315908523</v>
      </c>
    </row>
    <row r="3" spans="1:16" x14ac:dyDescent="0.25">
      <c r="A3" s="1" t="s">
        <v>108</v>
      </c>
      <c r="B3" s="3">
        <v>78205.685843357511</v>
      </c>
      <c r="C3" s="3">
        <v>349422.10237029847</v>
      </c>
      <c r="D3" s="3">
        <v>44660.198586663333</v>
      </c>
      <c r="E3" s="3">
        <v>6257.5191419352732</v>
      </c>
      <c r="F3" s="3">
        <v>1182.8641114535903</v>
      </c>
      <c r="G3" s="3">
        <v>359.26510504393633</v>
      </c>
      <c r="H3" s="3">
        <v>13610.126836951815</v>
      </c>
      <c r="I3" s="3">
        <v>51.492282987727918</v>
      </c>
      <c r="J3" s="3">
        <v>216.07648649209762</v>
      </c>
      <c r="K3" s="3">
        <v>43.773581006848637</v>
      </c>
      <c r="L3" s="3"/>
      <c r="M3" s="3">
        <v>326.23501762389276</v>
      </c>
      <c r="N3" s="3">
        <v>17.476326141059399</v>
      </c>
      <c r="O3" s="3">
        <v>264.14405892331723</v>
      </c>
      <c r="P3" s="3">
        <v>28.709177008178592</v>
      </c>
    </row>
    <row r="4" spans="1:16" x14ac:dyDescent="0.25">
      <c r="A4" s="1" t="s">
        <v>205</v>
      </c>
      <c r="B4" s="3">
        <v>76322.601314211002</v>
      </c>
      <c r="C4" s="3">
        <v>349419.56164844736</v>
      </c>
      <c r="D4" s="3">
        <v>40631.482277240561</v>
      </c>
      <c r="E4" s="3">
        <v>5477.0681514680573</v>
      </c>
      <c r="F4" s="3">
        <v>487.69263138426618</v>
      </c>
      <c r="G4" s="3">
        <v>449.57133767922062</v>
      </c>
      <c r="H4" s="3">
        <v>12517.331782956246</v>
      </c>
      <c r="I4" s="3">
        <v>107.44518297092219</v>
      </c>
      <c r="J4" s="3">
        <v>461.59529498815391</v>
      </c>
      <c r="K4" s="3">
        <v>11.577265089919157</v>
      </c>
      <c r="L4" s="3">
        <v>65.942168838865229</v>
      </c>
      <c r="M4" s="3">
        <v>204.00214323634665</v>
      </c>
      <c r="N4" s="3">
        <v>28.571378735371837</v>
      </c>
      <c r="O4" s="3">
        <v>40.790779008819236</v>
      </c>
      <c r="P4" s="3">
        <v>66.120750853682381</v>
      </c>
    </row>
    <row r="5" spans="1:16" x14ac:dyDescent="0.25">
      <c r="A5" s="1" t="s">
        <v>263</v>
      </c>
      <c r="B5" s="3">
        <v>73873.61096552349</v>
      </c>
      <c r="C5" s="3">
        <v>361358.27508472244</v>
      </c>
      <c r="D5" s="3">
        <v>40605.816317336736</v>
      </c>
      <c r="E5" s="3">
        <v>4505.2483535973151</v>
      </c>
      <c r="F5" s="3">
        <v>519.29928859307768</v>
      </c>
      <c r="G5" s="3">
        <v>519.40486928041241</v>
      </c>
      <c r="H5" s="3">
        <v>9854.0692065398998</v>
      </c>
      <c r="I5" s="3">
        <v>80.264244826797153</v>
      </c>
      <c r="J5" s="3">
        <v>199.75343808538452</v>
      </c>
      <c r="K5" s="3">
        <v>16.825672112614143</v>
      </c>
      <c r="L5" s="3">
        <v>55.333333333333336</v>
      </c>
      <c r="M5" s="3">
        <v>289.44187355242093</v>
      </c>
      <c r="N5" s="3">
        <v>30.243299909051064</v>
      </c>
      <c r="O5" s="3"/>
      <c r="P5" s="3">
        <v>31.88069778249719</v>
      </c>
    </row>
    <row r="6" spans="1:16" x14ac:dyDescent="0.25">
      <c r="A6" s="1" t="s">
        <v>264</v>
      </c>
      <c r="B6" s="3">
        <v>71368.763553211669</v>
      </c>
      <c r="C6" s="3">
        <v>346591.19389830891</v>
      </c>
      <c r="D6" s="3">
        <v>35633.429173346667</v>
      </c>
      <c r="E6" s="3">
        <v>3692.5879965871932</v>
      </c>
      <c r="F6" s="3">
        <v>358.75729653599853</v>
      </c>
      <c r="G6" s="3">
        <v>447.83195030736158</v>
      </c>
      <c r="H6" s="3">
        <v>9593.3998078079694</v>
      </c>
      <c r="I6" s="3">
        <v>116.365619183177</v>
      </c>
      <c r="J6" s="3">
        <v>180.13373923926872</v>
      </c>
      <c r="K6" s="3">
        <v>0</v>
      </c>
      <c r="L6" s="3">
        <v>57</v>
      </c>
      <c r="M6" s="3">
        <v>247.22382582878686</v>
      </c>
      <c r="N6" s="3">
        <v>62.175798709722827</v>
      </c>
      <c r="O6" s="3"/>
      <c r="P6" s="3">
        <v>29.518843933320458</v>
      </c>
    </row>
    <row r="7" spans="1:16" x14ac:dyDescent="0.25">
      <c r="A7" s="1" t="s">
        <v>203</v>
      </c>
      <c r="B7" s="3">
        <v>70803</v>
      </c>
      <c r="C7" s="3">
        <v>353913</v>
      </c>
      <c r="D7" s="3">
        <v>36950</v>
      </c>
      <c r="E7" s="3">
        <v>3757</v>
      </c>
      <c r="F7" s="3">
        <v>881</v>
      </c>
      <c r="G7" s="3">
        <v>552</v>
      </c>
      <c r="H7" s="3">
        <v>21457</v>
      </c>
      <c r="I7" s="3">
        <v>181</v>
      </c>
      <c r="J7" s="3">
        <v>209</v>
      </c>
      <c r="K7" s="3"/>
      <c r="L7" s="3"/>
      <c r="M7" s="3">
        <v>1287</v>
      </c>
      <c r="N7" s="3">
        <v>65</v>
      </c>
      <c r="O7" s="3"/>
      <c r="P7" s="3">
        <v>26</v>
      </c>
    </row>
    <row r="8" spans="1:16" x14ac:dyDescent="0.25">
      <c r="A8" s="1" t="s">
        <v>265</v>
      </c>
      <c r="B8" s="3">
        <v>70762.744698607727</v>
      </c>
      <c r="C8" s="3">
        <v>361911.27174589492</v>
      </c>
      <c r="D8" s="3">
        <v>37216.282446611949</v>
      </c>
      <c r="E8" s="3">
        <v>3234.5324171592069</v>
      </c>
      <c r="F8" s="3">
        <v>1064.9863626958067</v>
      </c>
      <c r="G8" s="3">
        <v>594.06054160960912</v>
      </c>
      <c r="H8" s="3">
        <v>28264.427855335718</v>
      </c>
      <c r="I8" s="3">
        <v>228.90970722944866</v>
      </c>
      <c r="J8" s="3">
        <v>256.27478667933718</v>
      </c>
      <c r="K8" s="3">
        <v>0</v>
      </c>
      <c r="L8" s="3"/>
      <c r="M8" s="3">
        <v>1400.0148676173133</v>
      </c>
      <c r="N8" s="3">
        <v>68.324142780311462</v>
      </c>
      <c r="O8" s="3"/>
      <c r="P8" s="3">
        <v>42.598181347180372</v>
      </c>
    </row>
    <row r="9" spans="1:16" x14ac:dyDescent="0.25">
      <c r="A9" s="1" t="s">
        <v>266</v>
      </c>
      <c r="B9" s="3">
        <v>70813.074433537258</v>
      </c>
      <c r="C9" s="3">
        <v>365295.17084735224</v>
      </c>
      <c r="D9" s="3">
        <v>42904.708211893521</v>
      </c>
      <c r="E9" s="3">
        <v>3343.3874399293782</v>
      </c>
      <c r="F9" s="3">
        <v>588.06458572777149</v>
      </c>
      <c r="G9" s="3">
        <v>374.48921734875</v>
      </c>
      <c r="H9" s="3">
        <v>7791.7866930300725</v>
      </c>
      <c r="I9" s="3">
        <v>37.489989897493544</v>
      </c>
      <c r="J9" s="3">
        <v>180.12169598085455</v>
      </c>
      <c r="K9" s="3">
        <v>0.59792758920650479</v>
      </c>
      <c r="L9" s="3">
        <v>43</v>
      </c>
      <c r="M9" s="3">
        <v>187.13661451611355</v>
      </c>
      <c r="N9" s="3">
        <v>22.711652140269408</v>
      </c>
      <c r="O9" s="3">
        <v>0</v>
      </c>
      <c r="P9" s="3">
        <v>28.235764644404103</v>
      </c>
    </row>
    <row r="10" spans="1:16" x14ac:dyDescent="0.25">
      <c r="A10" s="8" t="s">
        <v>267</v>
      </c>
      <c r="B10" s="4">
        <v>70019.527635382707</v>
      </c>
      <c r="C10" s="4">
        <v>380761.44665887509</v>
      </c>
      <c r="D10" s="4">
        <v>45378.144023749439</v>
      </c>
      <c r="E10" s="4">
        <v>3207.4287602733266</v>
      </c>
      <c r="F10" s="4">
        <v>495.84586804307725</v>
      </c>
      <c r="G10" s="4">
        <v>168.86653954182952</v>
      </c>
      <c r="H10" s="4">
        <v>4244.5715889653156</v>
      </c>
      <c r="I10" s="4">
        <v>22.522050737585364</v>
      </c>
      <c r="J10" s="4">
        <v>136.02944668201016</v>
      </c>
      <c r="K10" s="4">
        <v>18.808344141692857</v>
      </c>
      <c r="L10" s="4">
        <v>32.978638343260968</v>
      </c>
      <c r="M10" s="4">
        <v>92.020204254185202</v>
      </c>
      <c r="N10" s="4">
        <v>12.955033044301892</v>
      </c>
      <c r="O10" s="4">
        <v>123.36755792774125</v>
      </c>
      <c r="P10" s="4">
        <v>23.374772017175651</v>
      </c>
    </row>
    <row r="11" spans="1:16" x14ac:dyDescent="0.25">
      <c r="A11" s="1" t="s">
        <v>268</v>
      </c>
      <c r="B11" s="3">
        <v>73045.390387519874</v>
      </c>
      <c r="C11" s="3">
        <v>394364.96674087818</v>
      </c>
      <c r="D11" s="3">
        <v>40990.091053285381</v>
      </c>
      <c r="E11" s="3">
        <v>2464.3008879654431</v>
      </c>
      <c r="F11" s="3">
        <v>496.87309663616747</v>
      </c>
      <c r="G11" s="3">
        <v>604.78016993596066</v>
      </c>
      <c r="H11" s="3">
        <v>4380.2128049353414</v>
      </c>
      <c r="I11" s="3">
        <v>59.081975576182153</v>
      </c>
      <c r="J11" s="3">
        <v>163.0467901743059</v>
      </c>
      <c r="K11" s="3">
        <v>5.4526687053897041</v>
      </c>
      <c r="L11" s="3">
        <v>47.40428007635542</v>
      </c>
      <c r="M11" s="3">
        <v>153.28139494934129</v>
      </c>
      <c r="N11" s="3">
        <v>25.87031600079051</v>
      </c>
      <c r="O11" s="3">
        <v>0</v>
      </c>
      <c r="P11" s="3">
        <v>31.791451868501444</v>
      </c>
    </row>
    <row r="12" spans="1:16" x14ac:dyDescent="0.25">
      <c r="A12" s="1" t="s">
        <v>269</v>
      </c>
      <c r="B12" s="3">
        <v>77119.838236414682</v>
      </c>
      <c r="C12" s="3">
        <v>429008.75069235335</v>
      </c>
      <c r="D12" s="3">
        <v>50322.666534093332</v>
      </c>
      <c r="E12" s="3">
        <v>4037.78871650676</v>
      </c>
      <c r="F12" s="3">
        <v>528.89282314409775</v>
      </c>
      <c r="G12" s="3">
        <v>533.53149542789174</v>
      </c>
      <c r="H12" s="3">
        <v>3527.5891865734975</v>
      </c>
      <c r="I12" s="3">
        <v>35.511120617049379</v>
      </c>
      <c r="J12" s="3">
        <v>155.044744256315</v>
      </c>
      <c r="K12" s="3">
        <v>16.374999216720646</v>
      </c>
      <c r="L12" s="3">
        <v>42.917374788135412</v>
      </c>
      <c r="M12" s="3">
        <v>90.283566620050536</v>
      </c>
      <c r="N12" s="3">
        <v>28.6338316757831</v>
      </c>
      <c r="O12" s="3">
        <v>0</v>
      </c>
      <c r="P12" s="3">
        <v>22.031684806857704</v>
      </c>
    </row>
  </sheetData>
  <conditionalFormatting sqref="B10:P1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Indicative Elements</vt:lpstr>
      <vt:lpstr>General Info</vt:lpstr>
      <vt:lpstr>Schechter et al 2016</vt:lpstr>
      <vt:lpstr>Milic 2014</vt:lpstr>
      <vt:lpstr>Morgan 2015</vt:lpstr>
      <vt:lpstr>Frahm 2013</vt:lpstr>
      <vt:lpstr>Khalidi Gratuze Boucetta 2009</vt:lpstr>
      <vt:lpstr>Frahm and Hauck 2017-Gollu Dag</vt:lpstr>
      <vt:lpstr>Campbell and Healey 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2018-08-22T19:34:49Z</dcterms:modified>
</cp:coreProperties>
</file>