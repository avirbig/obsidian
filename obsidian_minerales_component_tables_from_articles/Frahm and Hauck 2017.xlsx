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autoCompressPictures="0"/>
  <mc:AlternateContent xmlns:mc="http://schemas.openxmlformats.org/markup-compatibility/2006">
    <mc:Choice Requires="x15">
      <x15ac:absPath xmlns:x15ac="http://schemas.microsoft.com/office/spreadsheetml/2010/11/ac" url="G:\ארכיאולוגיה חיפה\תשעז\תזה\Bivliography for thesis\ניתוח מאמרים\"/>
    </mc:Choice>
  </mc:AlternateContent>
  <xr:revisionPtr revIDLastSave="0" documentId="10_ncr:100000_{F322979F-5403-4C93-B485-9396D3076545}" xr6:coauthVersionLast="31" xr6:coauthVersionMax="31" xr10:uidLastSave="{00000000-0000-0000-0000-000000000000}"/>
  <bookViews>
    <workbookView xWindow="0" yWindow="0" windowWidth="20490" windowHeight="7575" xr2:uid="{00000000-000D-0000-FFFF-FFFF00000000}"/>
  </bookViews>
  <sheets>
    <sheet name="MAIN" sheetId="1" r:id="rId1"/>
    <sheet name="Frahm and Hauck 2017-Gollu Dag" sheetId="2" r:id="rId2"/>
  </sheets>
  <calcPr calcId="17901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53" i="1" l="1"/>
  <c r="E253" i="1"/>
  <c r="F253" i="1"/>
  <c r="G253" i="1"/>
  <c r="C253" i="1"/>
  <c r="G234" i="1"/>
  <c r="D234" i="1"/>
  <c r="E234" i="1"/>
  <c r="F234" i="1"/>
  <c r="C234" i="1"/>
  <c r="D226" i="1"/>
  <c r="E226" i="1"/>
  <c r="F226" i="1"/>
  <c r="G226" i="1"/>
  <c r="C226" i="1"/>
  <c r="D189" i="1"/>
  <c r="E189" i="1"/>
  <c r="F189" i="1"/>
  <c r="G189" i="1"/>
  <c r="C189" i="1"/>
  <c r="D180" i="1"/>
  <c r="E180" i="1"/>
  <c r="F180" i="1"/>
  <c r="G180" i="1"/>
  <c r="C180" i="1"/>
  <c r="D148" i="1"/>
  <c r="E148" i="1"/>
  <c r="F148" i="1"/>
  <c r="G148" i="1"/>
  <c r="C148" i="1"/>
  <c r="D135" i="1"/>
  <c r="E135" i="1"/>
  <c r="F135" i="1"/>
  <c r="G135" i="1"/>
  <c r="C135" i="1"/>
  <c r="D126" i="1"/>
  <c r="E126" i="1"/>
  <c r="F126" i="1"/>
  <c r="G126" i="1"/>
  <c r="C126" i="1"/>
  <c r="D111" i="1"/>
  <c r="E111" i="1"/>
  <c r="F111" i="1"/>
  <c r="G111" i="1"/>
  <c r="C111" i="1"/>
  <c r="D99" i="1"/>
  <c r="E99" i="1"/>
  <c r="F99" i="1"/>
  <c r="G99" i="1"/>
  <c r="C99" i="1"/>
  <c r="D77" i="1"/>
  <c r="E77" i="1"/>
  <c r="F77" i="1"/>
  <c r="G77" i="1"/>
  <c r="C77" i="1"/>
  <c r="D65" i="1"/>
  <c r="E65" i="1"/>
  <c r="F65" i="1"/>
  <c r="G65" i="1"/>
  <c r="C65" i="1"/>
  <c r="D56" i="1"/>
  <c r="E56" i="1"/>
  <c r="F56" i="1"/>
  <c r="G56" i="1"/>
  <c r="C56" i="1"/>
  <c r="C47" i="1"/>
  <c r="D47" i="1"/>
  <c r="E47" i="1"/>
  <c r="F47" i="1"/>
  <c r="G47" i="1"/>
  <c r="C41" i="1"/>
  <c r="D41" i="1"/>
  <c r="E41" i="1"/>
  <c r="F41" i="1"/>
  <c r="G41" i="1"/>
  <c r="D27" i="1"/>
  <c r="E27" i="1"/>
  <c r="F27" i="1"/>
  <c r="G27" i="1"/>
  <c r="C27" i="1"/>
  <c r="D14" i="1"/>
  <c r="E14" i="1"/>
  <c r="F14" i="1"/>
  <c r="G14" i="1"/>
  <c r="C14" i="1"/>
</calcChain>
</file>

<file path=xl/sharedStrings.xml><?xml version="1.0" encoding="utf-8"?>
<sst xmlns="http://schemas.openxmlformats.org/spreadsheetml/2006/main" count="534" uniqueCount="285">
  <si>
    <t>ea63</t>
  </si>
  <si>
    <t>ea52b3</t>
  </si>
  <si>
    <t>ea52b2</t>
  </si>
  <si>
    <t>ea53b2</t>
  </si>
  <si>
    <t>ea53b1</t>
  </si>
  <si>
    <t>ea54b1</t>
  </si>
  <si>
    <t>ea55b1</t>
  </si>
  <si>
    <t>ea55b2</t>
  </si>
  <si>
    <t>ea56b1</t>
  </si>
  <si>
    <t>ea63e1b</t>
  </si>
  <si>
    <t>ea63e1d</t>
  </si>
  <si>
    <t>ea63e1e</t>
  </si>
  <si>
    <t>ea63e1a</t>
  </si>
  <si>
    <t>ea63e1c</t>
  </si>
  <si>
    <t>ea40r2b</t>
  </si>
  <si>
    <t>ea40r4c</t>
  </si>
  <si>
    <t>ea40r3e</t>
  </si>
  <si>
    <t>ea40r3c</t>
  </si>
  <si>
    <t>ea40r4e</t>
  </si>
  <si>
    <t>ea40r3b</t>
  </si>
  <si>
    <t>ea40r4b</t>
  </si>
  <si>
    <t>ea37p8</t>
  </si>
  <si>
    <t>ea37p2</t>
  </si>
  <si>
    <t>ea37p7a</t>
  </si>
  <si>
    <t>ea37p7b</t>
  </si>
  <si>
    <t>ea39r3a</t>
  </si>
  <si>
    <t>ea40r1</t>
  </si>
  <si>
    <t>ea40r4d</t>
  </si>
  <si>
    <t>ea40r4a</t>
  </si>
  <si>
    <t>ea37p3</t>
  </si>
  <si>
    <t>ea37p5b</t>
  </si>
  <si>
    <t>ea37r1</t>
  </si>
  <si>
    <t>ea37p4</t>
  </si>
  <si>
    <t>ea36r4d</t>
  </si>
  <si>
    <t>ea36r4a</t>
  </si>
  <si>
    <t>ea36p3</t>
  </si>
  <si>
    <t>ea36r4e</t>
  </si>
  <si>
    <t>ea36p4a</t>
  </si>
  <si>
    <t>ea36r3e</t>
  </si>
  <si>
    <t>ea36r1</t>
  </si>
  <si>
    <t>ea36r3d</t>
  </si>
  <si>
    <t>ea36r3c</t>
  </si>
  <si>
    <t>ea36p2</t>
  </si>
  <si>
    <t>ea36r3b</t>
  </si>
  <si>
    <t>ea36r2</t>
  </si>
  <si>
    <t>ea36r4b</t>
  </si>
  <si>
    <t>ea36r3a</t>
  </si>
  <si>
    <t>ea19r1</t>
  </si>
  <si>
    <t>ea18p1</t>
  </si>
  <si>
    <t>ea17r2b</t>
  </si>
  <si>
    <t>ea17p5</t>
  </si>
  <si>
    <t>ea16r3</t>
  </si>
  <si>
    <t>ea16r2a</t>
  </si>
  <si>
    <t>ea16r2b</t>
  </si>
  <si>
    <t>ea15r2</t>
  </si>
  <si>
    <t>ea15r1b</t>
  </si>
  <si>
    <t>ea15r1</t>
  </si>
  <si>
    <t>ea15p3</t>
  </si>
  <si>
    <t>ea15p2</t>
  </si>
  <si>
    <t>ea14r1</t>
  </si>
  <si>
    <t>ea14p3</t>
  </si>
  <si>
    <t>ea14p1a</t>
  </si>
  <si>
    <t>ea13r2</t>
  </si>
  <si>
    <t>ea13r1</t>
  </si>
  <si>
    <t>ea12r1a</t>
  </si>
  <si>
    <t>ea11r2</t>
  </si>
  <si>
    <t>ea11r1</t>
  </si>
  <si>
    <t>ea11p1</t>
  </si>
  <si>
    <t>ea10p4</t>
  </si>
  <si>
    <t>ea68sx2</t>
  </si>
  <si>
    <t>ea68sx1</t>
  </si>
  <si>
    <t>ea69sx2</t>
  </si>
  <si>
    <t>ea69sx1</t>
  </si>
  <si>
    <t>ea01r1</t>
  </si>
  <si>
    <t>ea01p2</t>
  </si>
  <si>
    <t>ea01p1</t>
  </si>
  <si>
    <t>ea01p3</t>
  </si>
  <si>
    <t>ea02p2</t>
  </si>
  <si>
    <t>ea02r1</t>
  </si>
  <si>
    <t>ea02r2a</t>
  </si>
  <si>
    <t>ea02r2b</t>
  </si>
  <si>
    <t>ea02p3</t>
  </si>
  <si>
    <t>ea02p1a</t>
  </si>
  <si>
    <t>ea02p4</t>
  </si>
  <si>
    <t>ea03p2a</t>
  </si>
  <si>
    <t>ea03p5</t>
  </si>
  <si>
    <t>ea03p4</t>
  </si>
  <si>
    <t>ea03r1</t>
  </si>
  <si>
    <t>ea03p1a</t>
  </si>
  <si>
    <t>ea04r4c</t>
  </si>
  <si>
    <t>ea04r4d</t>
  </si>
  <si>
    <t>ea04r2</t>
  </si>
  <si>
    <t>ea04r5a</t>
  </si>
  <si>
    <t>ea04r4e</t>
  </si>
  <si>
    <t>ea07p4</t>
  </si>
  <si>
    <t>ea07p2</t>
  </si>
  <si>
    <t>ea07r2</t>
  </si>
  <si>
    <t>ea07p3</t>
  </si>
  <si>
    <t>ea06p1</t>
  </si>
  <si>
    <t>ea06p2</t>
  </si>
  <si>
    <t>ea06r1</t>
  </si>
  <si>
    <t>ea05r2</t>
  </si>
  <si>
    <t>ea05p2</t>
  </si>
  <si>
    <t>ea05r1</t>
  </si>
  <si>
    <t>ea04r1b</t>
  </si>
  <si>
    <t>ea04p2</t>
  </si>
  <si>
    <t>ea04r5e</t>
  </si>
  <si>
    <t>ea04r5b</t>
  </si>
  <si>
    <t>ea04r4b</t>
  </si>
  <si>
    <t>ea04r5c</t>
  </si>
  <si>
    <t>ea04r4a</t>
  </si>
  <si>
    <t>ea10p3</t>
  </si>
  <si>
    <t>ea10r1a</t>
  </si>
  <si>
    <t>ea09r2c</t>
  </si>
  <si>
    <t>ea09r2e</t>
  </si>
  <si>
    <t>ea09r3c</t>
  </si>
  <si>
    <t>ea09r3d</t>
  </si>
  <si>
    <t>ea09r3a</t>
  </si>
  <si>
    <t>ea09p2</t>
  </si>
  <si>
    <t>ea09r2d</t>
  </si>
  <si>
    <t>ea09r2b</t>
  </si>
  <si>
    <t>ea09r2a</t>
  </si>
  <si>
    <t>ea09r1</t>
  </si>
  <si>
    <t>ea09r3e</t>
  </si>
  <si>
    <t>ea08p1</t>
  </si>
  <si>
    <t>ea08r1</t>
  </si>
  <si>
    <t>ea08p2</t>
  </si>
  <si>
    <t>ea07r3</t>
  </si>
  <si>
    <t>ea07r1</t>
  </si>
  <si>
    <t>ea10r2</t>
  </si>
  <si>
    <t>ea01p4</t>
  </si>
  <si>
    <t>ca29p5a</t>
  </si>
  <si>
    <t>ca29p2a</t>
  </si>
  <si>
    <t>ca29p3a</t>
  </si>
  <si>
    <t>ca29p1a</t>
  </si>
  <si>
    <t>ca29r2</t>
  </si>
  <si>
    <t>ca29p6</t>
  </si>
  <si>
    <t>ca29r1</t>
  </si>
  <si>
    <t>ca29p4</t>
  </si>
  <si>
    <t>ca28p2</t>
  </si>
  <si>
    <t>ca28r1b</t>
  </si>
  <si>
    <t>ca28p4</t>
  </si>
  <si>
    <t>ca28p5</t>
  </si>
  <si>
    <t>ca28p1</t>
  </si>
  <si>
    <t>ca27p2</t>
  </si>
  <si>
    <t>ca27r3</t>
  </si>
  <si>
    <t>ca27r2a</t>
  </si>
  <si>
    <t>ca27p1</t>
  </si>
  <si>
    <t>ca26p1</t>
  </si>
  <si>
    <t>ca25r2</t>
  </si>
  <si>
    <t>ca25p1</t>
  </si>
  <si>
    <t>ca25p2</t>
  </si>
  <si>
    <t>ca24r1</t>
  </si>
  <si>
    <t>ca23p3a</t>
  </si>
  <si>
    <t>ca23r1a</t>
  </si>
  <si>
    <t>ca23r1b</t>
  </si>
  <si>
    <t>ca23p1</t>
  </si>
  <si>
    <t>ca22r1</t>
  </si>
  <si>
    <t>ca22p1</t>
  </si>
  <si>
    <t>ca22p3</t>
  </si>
  <si>
    <t>ca21r1a</t>
  </si>
  <si>
    <t>ca21r1b</t>
  </si>
  <si>
    <t>ca21p2</t>
  </si>
  <si>
    <t>ca20p2</t>
  </si>
  <si>
    <t>ca20p3</t>
  </si>
  <si>
    <t>ca20r1a</t>
  </si>
  <si>
    <t>ca20p4</t>
  </si>
  <si>
    <t>ca19p1</t>
  </si>
  <si>
    <t>ca19r1</t>
  </si>
  <si>
    <t>ca19r2a</t>
  </si>
  <si>
    <t>ca19r2b</t>
  </si>
  <si>
    <t>ca18r1</t>
  </si>
  <si>
    <t>ca18r2</t>
  </si>
  <si>
    <t>ca17p2</t>
  </si>
  <si>
    <t>ca16r2</t>
  </si>
  <si>
    <t>ca09p1</t>
  </si>
  <si>
    <t>ca09p2</t>
  </si>
  <si>
    <t>ca09p3</t>
  </si>
  <si>
    <t>ca11p2</t>
  </si>
  <si>
    <t>ca11p1</t>
  </si>
  <si>
    <t>ca11r1</t>
  </si>
  <si>
    <t>ca12p1</t>
  </si>
  <si>
    <t>ca12r1a</t>
  </si>
  <si>
    <t>ca13r1</t>
  </si>
  <si>
    <t>ca14p1a</t>
  </si>
  <si>
    <t>ca14p1</t>
  </si>
  <si>
    <t>ca14p2</t>
  </si>
  <si>
    <t>ca08p2</t>
  </si>
  <si>
    <t>ca06p8a</t>
  </si>
  <si>
    <t>ca06p7b</t>
  </si>
  <si>
    <t>ca06r2a</t>
  </si>
  <si>
    <t>ca06r2b</t>
  </si>
  <si>
    <t>ca06p2</t>
  </si>
  <si>
    <t>ca06r1</t>
  </si>
  <si>
    <t>ca06p1</t>
  </si>
  <si>
    <t>ca06p4</t>
  </si>
  <si>
    <t>ca05r5b</t>
  </si>
  <si>
    <t>ca05p3</t>
  </si>
  <si>
    <t>ca05r1a</t>
  </si>
  <si>
    <t>ca05p1</t>
  </si>
  <si>
    <t>ca05r4b</t>
  </si>
  <si>
    <t>ca05r3a</t>
  </si>
  <si>
    <t>ca05r5e</t>
  </si>
  <si>
    <t>ca05r5a</t>
  </si>
  <si>
    <t>ca05r4c</t>
  </si>
  <si>
    <t>ca05r4e</t>
  </si>
  <si>
    <t>ca05r5d</t>
  </si>
  <si>
    <t>ca05p2</t>
  </si>
  <si>
    <t>ca04p1</t>
  </si>
  <si>
    <t>ca03p1</t>
  </si>
  <si>
    <t>ca01r1</t>
  </si>
  <si>
    <t>ca30p5</t>
  </si>
  <si>
    <t>ca30p4</t>
  </si>
  <si>
    <t>ca30r1b</t>
  </si>
  <si>
    <t>ca30p2</t>
  </si>
  <si>
    <t>ca30p1</t>
  </si>
  <si>
    <t>ca31p2</t>
  </si>
  <si>
    <t>ca31p1</t>
  </si>
  <si>
    <t>ca31r1</t>
  </si>
  <si>
    <t>ca32w4</t>
  </si>
  <si>
    <t>ca32w1</t>
  </si>
  <si>
    <t>ca33w1</t>
  </si>
  <si>
    <t>ca33w4</t>
  </si>
  <si>
    <t>ca32w2</t>
  </si>
  <si>
    <t>ca33w3</t>
  </si>
  <si>
    <t>ca33w5</t>
  </si>
  <si>
    <t>ca32w6</t>
  </si>
  <si>
    <t>Jabroud II</t>
  </si>
  <si>
    <t>Nb (ppm)</t>
  </si>
  <si>
    <t>Zr (ppm)</t>
  </si>
  <si>
    <t>Sr (ppm)</t>
  </si>
  <si>
    <t>Rb (ppm)</t>
  </si>
  <si>
    <t>Fe (ppm)</t>
  </si>
  <si>
    <t>Kömürcü</t>
  </si>
  <si>
    <t>Kars-Digor</t>
  </si>
  <si>
    <t>Kars-Digor2</t>
  </si>
  <si>
    <t>artifact</t>
  </si>
  <si>
    <t>Specimen</t>
  </si>
  <si>
    <t>Source</t>
  </si>
  <si>
    <t>Acıgöl</t>
  </si>
  <si>
    <t>Acıgöl2</t>
  </si>
  <si>
    <t>Acıgöl3</t>
  </si>
  <si>
    <t>Bingöl B</t>
  </si>
  <si>
    <t>Göllü Daǧ1</t>
  </si>
  <si>
    <t>Göllü Daǧ2</t>
  </si>
  <si>
    <t>Göllü Daǧ3</t>
  </si>
  <si>
    <t>Hasan Daǧ</t>
  </si>
  <si>
    <t>Nenezi Daǧ</t>
  </si>
  <si>
    <t>Suphan Daǧ</t>
  </si>
  <si>
    <t>Kars-Arpaçay</t>
  </si>
  <si>
    <t>Meydan Daǧ</t>
  </si>
  <si>
    <t>Sarıkamış</t>
  </si>
  <si>
    <t>Sarıkamış2</t>
  </si>
  <si>
    <t>Reference</t>
  </si>
  <si>
    <t>Technique</t>
  </si>
  <si>
    <t>Nb</t>
  </si>
  <si>
    <t>Zr</t>
  </si>
  <si>
    <t>Sr</t>
  </si>
  <si>
    <t>Rb</t>
  </si>
  <si>
    <t>Fe</t>
  </si>
  <si>
    <t>Kelle_and_Seifried_1990</t>
  </si>
  <si>
    <t>WDXRF</t>
  </si>
  <si>
    <t>Yellin_1995</t>
  </si>
  <si>
    <t>NAA</t>
  </si>
  <si>
    <t>Martinetto_1996</t>
  </si>
  <si>
    <t>ICP-AES/MS</t>
  </si>
  <si>
    <t>Oddone_et_al_1997</t>
  </si>
  <si>
    <t>Bellot-Gurlet_1998</t>
  </si>
  <si>
    <t>Gratuze_in_Poidevin_1998</t>
  </si>
  <si>
    <t>LA-ICP-MS</t>
  </si>
  <si>
    <t>Carter_and_Shackley_2007</t>
  </si>
  <si>
    <t>EDXRF</t>
  </si>
  <si>
    <t>Kobayashi_and_Mochizuki_2007</t>
  </si>
  <si>
    <t>Frahm_2010</t>
  </si>
  <si>
    <t>"</t>
  </si>
  <si>
    <t>EMPA</t>
  </si>
  <si>
    <t>Poupeau_et_al_2010</t>
  </si>
  <si>
    <t>ICP-MS</t>
  </si>
  <si>
    <t>PIXE</t>
  </si>
  <si>
    <t>SEM-EDS</t>
  </si>
  <si>
    <t>Binder_et_al_2011</t>
  </si>
  <si>
    <t>Overall_mean_values</t>
  </si>
  <si>
    <t>This_study_pXRF</t>
  </si>
  <si>
    <t>pXRF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</si>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</sst>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0" fontId="0" fillId="0" borderId="0" xfId="0" applyFont="1"/>
    <xf numFmtId="0" fontId="2" fillId="0" borderId="0" xfId="0" applyFont="1"/>
    <xf numFmtId="0" fontId="1" fillId="2" borderId="0" xfId="0" applyFont="1" applyFill="1" applyAlignment="1">
      <alignment horizontal="left" vertical="center"/>
    </xf>
    <xf numFmtId="1" fontId="1" fillId="2" borderId="0" xfId="0" applyNumberFormat="1" applyFont="1" applyFill="1" applyAlignment="1">
      <alignment horizontal="left" vertical="center"/>
    </xf>
    <xf numFmtId="22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1" fontId="0" fillId="0" borderId="0" xfId="0" applyNumberFormat="1" applyAlignment="1">
      <alignment horizontal="left"/>
    </xf>
    <xf numFmtId="22" fontId="2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1" fontId="2" fillId="0" borderId="0" xfId="0" applyNumberFormat="1" applyFont="1" applyAlignment="1">
      <alignment horizontal="left"/>
    </xf>
    <xf numFmtId="22" fontId="0" fillId="0" borderId="0" xfId="0" applyNumberFormat="1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applyAlignment="1">
      <alignment horizontal="left" vertical="center"/>
    </xf>
    <xf numFmtId="22" fontId="0" fillId="3" borderId="0" xfId="0" applyNumberFormat="1" applyFill="1" applyAlignment="1">
      <alignment horizontal="left"/>
    </xf>
    <xf numFmtId="0" fontId="0" fillId="3" borderId="0" xfId="0" quotePrefix="1" applyFill="1" applyAlignment="1">
      <alignment horizontal="left"/>
    </xf>
    <xf numFmtId="1" fontId="0" fillId="3" borderId="0" xfId="0" applyNumberFormat="1" applyFill="1" applyAlignment="1">
      <alignment horizontal="left"/>
    </xf>
    <xf numFmtId="0" fontId="2" fillId="3" borderId="0" xfId="0" quotePrefix="1" applyFont="1" applyFill="1" applyAlignment="1">
      <alignment horizontal="left"/>
    </xf>
    <xf numFmtId="1" fontId="2" fillId="3" borderId="0" xfId="0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topLeftCell="A234" workbookViewId="0">
      <selection activeCell="K251" sqref="K251"/>
    </sheetView>
  </sheetViews>
  <sheetFormatPr defaultColWidth="8.875" defaultRowHeight="14.25" x14ac:dyDescent="0.2"/>
  <cols>
    <col min="1" max="1" width="12" bestFit="1" customWidth="1" collapsed="1"/>
    <col min="2" max="2" width="9.625" bestFit="1" customWidth="1" collapsed="1"/>
    <col min="3" max="3" width="8.875" style="1" bestFit="1" customWidth="1" collapsed="1"/>
    <col min="4" max="4" width="8.125" style="1" bestFit="1" customWidth="1" collapsed="1"/>
    <col min="5" max="5" width="8.375" style="1" bestFit="1" customWidth="1" collapsed="1"/>
    <col min="6" max="7" width="8.875" style="1" bestFit="1" customWidth="1" collapsed="1"/>
  </cols>
  <sheetData>
    <row r="1" spans="1:7" ht="15" x14ac:dyDescent="0.2">
      <c r="A1" s="4" t="s">
        <v>238</v>
      </c>
      <c r="B1" s="4" t="s">
        <v>237</v>
      </c>
      <c r="C1" s="5" t="s">
        <v>228</v>
      </c>
      <c r="D1" s="5" t="s">
        <v>229</v>
      </c>
      <c r="E1" s="5" t="s">
        <v>230</v>
      </c>
      <c r="F1" s="5" t="s">
        <v>231</v>
      </c>
      <c r="G1" s="5" t="s">
        <v>232</v>
      </c>
    </row>
    <row r="2" spans="1:7" x14ac:dyDescent="0.2">
      <c r="A2" s="6" t="s">
        <v>239</v>
      </c>
      <c r="B2" s="7" t="s">
        <v>187</v>
      </c>
      <c r="C2" s="8">
        <v>29.427795</v>
      </c>
      <c r="D2" s="8">
        <v>61.724249999999991</v>
      </c>
      <c r="E2" s="8">
        <v>0</v>
      </c>
      <c r="F2" s="8">
        <v>271.07682599999998</v>
      </c>
      <c r="G2" s="8">
        <v>5695.645622</v>
      </c>
    </row>
    <row r="3" spans="1:7" x14ac:dyDescent="0.2">
      <c r="A3" s="6" t="s">
        <v>239</v>
      </c>
      <c r="B3" s="7" t="s">
        <v>175</v>
      </c>
      <c r="C3" s="8">
        <v>31.043628000000002</v>
      </c>
      <c r="D3" s="8">
        <v>65.075624999999988</v>
      </c>
      <c r="E3" s="8">
        <v>0</v>
      </c>
      <c r="F3" s="8">
        <v>270.745431</v>
      </c>
      <c r="G3" s="8">
        <v>5965.0602829999998</v>
      </c>
    </row>
    <row r="4" spans="1:7" x14ac:dyDescent="0.2">
      <c r="A4" s="6" t="s">
        <v>239</v>
      </c>
      <c r="B4" s="7" t="s">
        <v>176</v>
      </c>
      <c r="C4" s="8">
        <v>30.441113999999999</v>
      </c>
      <c r="D4" s="8">
        <v>64.437749999999994</v>
      </c>
      <c r="E4" s="8">
        <v>0</v>
      </c>
      <c r="F4" s="8">
        <v>274.39077599999996</v>
      </c>
      <c r="G4" s="8">
        <v>5740.3594430000003</v>
      </c>
    </row>
    <row r="5" spans="1:7" x14ac:dyDescent="0.2">
      <c r="A5" s="6" t="s">
        <v>239</v>
      </c>
      <c r="B5" s="7" t="s">
        <v>177</v>
      </c>
      <c r="C5" s="8">
        <v>31.664400000000004</v>
      </c>
      <c r="D5" s="8">
        <v>64.741499999999988</v>
      </c>
      <c r="E5" s="8">
        <v>0</v>
      </c>
      <c r="F5" s="8">
        <v>275.31868199999997</v>
      </c>
      <c r="G5" s="8">
        <v>5761.7389459999995</v>
      </c>
    </row>
    <row r="6" spans="1:7" x14ac:dyDescent="0.2">
      <c r="A6" s="6" t="s">
        <v>239</v>
      </c>
      <c r="B6" s="7" t="s">
        <v>179</v>
      </c>
      <c r="C6" s="8">
        <v>29.455182000000001</v>
      </c>
      <c r="D6" s="8">
        <v>70.421624999999992</v>
      </c>
      <c r="E6" s="8">
        <v>0</v>
      </c>
      <c r="F6" s="8">
        <v>263.83032200000002</v>
      </c>
      <c r="G6" s="8">
        <v>5745.9906819999997</v>
      </c>
    </row>
    <row r="7" spans="1:7" x14ac:dyDescent="0.2">
      <c r="A7" s="6" t="s">
        <v>239</v>
      </c>
      <c r="B7" s="7" t="s">
        <v>178</v>
      </c>
      <c r="C7" s="8">
        <v>31.746561000000003</v>
      </c>
      <c r="D7" s="8">
        <v>63.860624999999992</v>
      </c>
      <c r="E7" s="8">
        <v>0</v>
      </c>
      <c r="F7" s="8">
        <v>270.36984999999999</v>
      </c>
      <c r="G7" s="8">
        <v>5844.0812409999999</v>
      </c>
    </row>
    <row r="8" spans="1:7" x14ac:dyDescent="0.2">
      <c r="A8" s="6" t="s">
        <v>239</v>
      </c>
      <c r="B8" s="7" t="s">
        <v>180</v>
      </c>
      <c r="C8" s="8">
        <v>29.911632000000001</v>
      </c>
      <c r="D8" s="8">
        <v>65.672999999999988</v>
      </c>
      <c r="E8" s="8">
        <v>0</v>
      </c>
      <c r="F8" s="8">
        <v>271.01054700000003</v>
      </c>
      <c r="G8" s="8">
        <v>5906.491281999999</v>
      </c>
    </row>
    <row r="9" spans="1:7" x14ac:dyDescent="0.2">
      <c r="A9" s="6" t="s">
        <v>239</v>
      </c>
      <c r="B9" s="7" t="s">
        <v>183</v>
      </c>
      <c r="C9" s="8">
        <v>28.852668000000005</v>
      </c>
      <c r="D9" s="8">
        <v>65.865374999999986</v>
      </c>
      <c r="E9" s="8">
        <v>0</v>
      </c>
      <c r="F9" s="8">
        <v>269.06636299999997</v>
      </c>
      <c r="G9" s="8">
        <v>6082.404055</v>
      </c>
    </row>
    <row r="10" spans="1:7" x14ac:dyDescent="0.2">
      <c r="A10" s="6" t="s">
        <v>239</v>
      </c>
      <c r="B10" s="7" t="s">
        <v>221</v>
      </c>
      <c r="C10" s="8">
        <v>30.413727000000005</v>
      </c>
      <c r="D10" s="8">
        <v>65.440124999999981</v>
      </c>
      <c r="E10" s="8">
        <v>0</v>
      </c>
      <c r="F10" s="8">
        <v>268.24892199999999</v>
      </c>
      <c r="G10" s="8">
        <v>5730.0229299999992</v>
      </c>
    </row>
    <row r="11" spans="1:7" x14ac:dyDescent="0.2">
      <c r="A11" s="6" t="s">
        <v>239</v>
      </c>
      <c r="B11" s="7" t="s">
        <v>224</v>
      </c>
      <c r="C11" s="8">
        <v>29.838600000000003</v>
      </c>
      <c r="D11" s="8">
        <v>69.96599999999998</v>
      </c>
      <c r="E11" s="8">
        <v>0</v>
      </c>
      <c r="F11" s="8">
        <v>266.94543500000003</v>
      </c>
      <c r="G11" s="8">
        <v>5830.2260609999994</v>
      </c>
    </row>
    <row r="12" spans="1:7" x14ac:dyDescent="0.2">
      <c r="A12" s="6" t="s">
        <v>239</v>
      </c>
      <c r="B12" s="7" t="s">
        <v>222</v>
      </c>
      <c r="C12" s="8">
        <v>31.290111000000007</v>
      </c>
      <c r="D12" s="8">
        <v>63.121500000000005</v>
      </c>
      <c r="E12" s="8">
        <v>0</v>
      </c>
      <c r="F12" s="8">
        <v>267.10008599999998</v>
      </c>
      <c r="G12" s="8">
        <v>5795.258879</v>
      </c>
    </row>
    <row r="13" spans="1:7" x14ac:dyDescent="0.2">
      <c r="A13" s="6" t="s">
        <v>239</v>
      </c>
      <c r="B13" s="7" t="s">
        <v>225</v>
      </c>
      <c r="C13" s="8">
        <v>28.971344999999999</v>
      </c>
      <c r="D13" s="8">
        <v>59.992875000000005</v>
      </c>
      <c r="E13" s="8">
        <v>0</v>
      </c>
      <c r="F13" s="8">
        <v>267.01171399999998</v>
      </c>
      <c r="G13" s="8">
        <v>5753.0280159999993</v>
      </c>
    </row>
    <row r="14" spans="1:7" x14ac:dyDescent="0.2">
      <c r="A14" s="15" t="s">
        <v>284</v>
      </c>
      <c r="B14" s="16"/>
      <c r="C14" s="17">
        <f>AVERAGE(C2:C13)</f>
        <v>30.254730249999998</v>
      </c>
      <c r="D14" s="17">
        <f t="shared" ref="D14:G14" si="0">AVERAGE(D2:D13)</f>
        <v>65.026687499999994</v>
      </c>
      <c r="E14" s="17">
        <f t="shared" si="0"/>
        <v>0</v>
      </c>
      <c r="F14" s="17">
        <f t="shared" si="0"/>
        <v>269.5929128333334</v>
      </c>
      <c r="G14" s="17">
        <f t="shared" si="0"/>
        <v>5820.8589533333334</v>
      </c>
    </row>
    <row r="15" spans="1:7" x14ac:dyDescent="0.2">
      <c r="A15" s="6" t="s">
        <v>240</v>
      </c>
      <c r="B15" s="7" t="s">
        <v>199</v>
      </c>
      <c r="C15" s="8">
        <v>18.080448000000004</v>
      </c>
      <c r="D15" s="8">
        <v>134.19899999999998</v>
      </c>
      <c r="E15" s="8">
        <v>90.633716000000007</v>
      </c>
      <c r="F15" s="8">
        <v>169.86879299999998</v>
      </c>
      <c r="G15" s="8">
        <v>8806.2707119999995</v>
      </c>
    </row>
    <row r="16" spans="1:7" x14ac:dyDescent="0.2">
      <c r="A16" s="6" t="s">
        <v>240</v>
      </c>
      <c r="B16" s="7" t="s">
        <v>207</v>
      </c>
      <c r="C16" s="8">
        <v>20.161860000000001</v>
      </c>
      <c r="D16" s="8">
        <v>136.31512499999999</v>
      </c>
      <c r="E16" s="8">
        <v>90.872561000000005</v>
      </c>
      <c r="F16" s="8">
        <v>172.71878999999998</v>
      </c>
      <c r="G16" s="8">
        <v>8883.6402319999979</v>
      </c>
    </row>
    <row r="17" spans="1:7" x14ac:dyDescent="0.2">
      <c r="A17" s="6" t="s">
        <v>240</v>
      </c>
      <c r="B17" s="7" t="s">
        <v>197</v>
      </c>
      <c r="C17" s="8">
        <v>18.682962000000003</v>
      </c>
      <c r="D17" s="8">
        <v>150.43950000000001</v>
      </c>
      <c r="E17" s="8">
        <v>89.312107000000012</v>
      </c>
      <c r="F17" s="8">
        <v>174.57460199999997</v>
      </c>
      <c r="G17" s="8">
        <v>8768.6696740000007</v>
      </c>
    </row>
    <row r="18" spans="1:7" x14ac:dyDescent="0.2">
      <c r="A18" s="6" t="s">
        <v>240</v>
      </c>
      <c r="B18" s="7" t="s">
        <v>198</v>
      </c>
      <c r="C18" s="8">
        <v>18.509511</v>
      </c>
      <c r="D18" s="8">
        <v>145.73137499999999</v>
      </c>
      <c r="E18" s="8">
        <v>89.328029999999998</v>
      </c>
      <c r="F18" s="8">
        <v>172.29902299999998</v>
      </c>
      <c r="G18" s="8">
        <v>9029.099044999999</v>
      </c>
    </row>
    <row r="19" spans="1:7" x14ac:dyDescent="0.2">
      <c r="A19" s="6" t="s">
        <v>240</v>
      </c>
      <c r="B19" s="7" t="s">
        <v>201</v>
      </c>
      <c r="C19" s="8">
        <v>17.286225000000002</v>
      </c>
      <c r="D19" s="8">
        <v>137.48962499999999</v>
      </c>
      <c r="E19" s="8">
        <v>88.691110000000009</v>
      </c>
      <c r="F19" s="8">
        <v>171.63623299999998</v>
      </c>
      <c r="G19" s="8">
        <v>8891.6652619999986</v>
      </c>
    </row>
    <row r="20" spans="1:7" x14ac:dyDescent="0.2">
      <c r="A20" s="6" t="s">
        <v>240</v>
      </c>
      <c r="B20" s="7" t="s">
        <v>200</v>
      </c>
      <c r="C20" s="8">
        <v>15.980778000000001</v>
      </c>
      <c r="D20" s="8">
        <v>142.57237499999999</v>
      </c>
      <c r="E20" s="8">
        <v>91.923479</v>
      </c>
      <c r="F20" s="8">
        <v>178.97110899999996</v>
      </c>
      <c r="G20" s="8">
        <v>9074.9377419999983</v>
      </c>
    </row>
    <row r="21" spans="1:7" x14ac:dyDescent="0.2">
      <c r="A21" s="6" t="s">
        <v>240</v>
      </c>
      <c r="B21" s="7" t="s">
        <v>204</v>
      </c>
      <c r="C21" s="8">
        <v>16.738485000000001</v>
      </c>
      <c r="D21" s="8">
        <v>133.014375</v>
      </c>
      <c r="E21" s="8">
        <v>89.550952000000009</v>
      </c>
      <c r="F21" s="8">
        <v>171.68041899999997</v>
      </c>
      <c r="G21" s="8">
        <v>8857.3085309999988</v>
      </c>
    </row>
    <row r="22" spans="1:7" x14ac:dyDescent="0.2">
      <c r="A22" s="6" t="s">
        <v>240</v>
      </c>
      <c r="B22" s="7" t="s">
        <v>205</v>
      </c>
      <c r="C22" s="8">
        <v>19.468056000000001</v>
      </c>
      <c r="D22" s="8">
        <v>140.03100000000001</v>
      </c>
      <c r="E22" s="8">
        <v>95.155848000000006</v>
      </c>
      <c r="F22" s="8">
        <v>170.44321099999996</v>
      </c>
      <c r="G22" s="8">
        <v>9043.1119819999985</v>
      </c>
    </row>
    <row r="23" spans="1:7" x14ac:dyDescent="0.2">
      <c r="A23" s="6" t="s">
        <v>240</v>
      </c>
      <c r="B23" s="7" t="s">
        <v>203</v>
      </c>
      <c r="C23" s="8">
        <v>17.569224000000002</v>
      </c>
      <c r="D23" s="8">
        <v>137.06437499999998</v>
      </c>
      <c r="E23" s="8">
        <v>91.238789999999995</v>
      </c>
      <c r="F23" s="8">
        <v>177.80017999999995</v>
      </c>
      <c r="G23" s="8">
        <v>9021.0122840000004</v>
      </c>
    </row>
    <row r="24" spans="1:7" x14ac:dyDescent="0.2">
      <c r="A24" s="6" t="s">
        <v>240</v>
      </c>
      <c r="B24" s="7" t="s">
        <v>196</v>
      </c>
      <c r="C24" s="8">
        <v>16.163358000000002</v>
      </c>
      <c r="D24" s="8">
        <v>148.47524999999999</v>
      </c>
      <c r="E24" s="8">
        <v>92.544476000000003</v>
      </c>
      <c r="F24" s="8">
        <v>175.392043</v>
      </c>
      <c r="G24" s="8">
        <v>9031.1910399999997</v>
      </c>
    </row>
    <row r="25" spans="1:7" x14ac:dyDescent="0.2">
      <c r="A25" s="6" t="s">
        <v>240</v>
      </c>
      <c r="B25" s="7" t="s">
        <v>206</v>
      </c>
      <c r="C25" s="8">
        <v>18.509511</v>
      </c>
      <c r="D25" s="8">
        <v>134.685</v>
      </c>
      <c r="E25" s="8">
        <v>88.961800999999994</v>
      </c>
      <c r="F25" s="8">
        <v>166.46647099999998</v>
      </c>
      <c r="G25" s="8">
        <v>8913.4494459999987</v>
      </c>
    </row>
    <row r="26" spans="1:7" x14ac:dyDescent="0.2">
      <c r="A26" s="6" t="s">
        <v>240</v>
      </c>
      <c r="B26" s="7" t="s">
        <v>202</v>
      </c>
      <c r="C26" s="8">
        <v>16.300293000000003</v>
      </c>
      <c r="D26" s="8">
        <v>146.99699999999999</v>
      </c>
      <c r="E26" s="8">
        <v>96.620764000000008</v>
      </c>
      <c r="F26" s="8">
        <v>175.23739199999997</v>
      </c>
      <c r="G26" s="8">
        <v>8933.0387499999997</v>
      </c>
    </row>
    <row r="27" spans="1:7" x14ac:dyDescent="0.2">
      <c r="A27" s="15" t="s">
        <v>284</v>
      </c>
      <c r="B27" s="16"/>
      <c r="C27" s="17">
        <f>AVERAGE(C15:C26)</f>
        <v>17.787559250000005</v>
      </c>
      <c r="D27" s="17">
        <f t="shared" ref="D27:G27" si="1">AVERAGE(D15:D26)</f>
        <v>140.58449999999996</v>
      </c>
      <c r="E27" s="17">
        <f t="shared" si="1"/>
        <v>91.236136166666668</v>
      </c>
      <c r="F27" s="17">
        <f t="shared" si="1"/>
        <v>173.0906888333333</v>
      </c>
      <c r="G27" s="17">
        <f t="shared" si="1"/>
        <v>8937.7828916666676</v>
      </c>
    </row>
    <row r="28" spans="1:7" x14ac:dyDescent="0.2">
      <c r="A28" s="6" t="s">
        <v>241</v>
      </c>
      <c r="B28" s="7" t="s">
        <v>210</v>
      </c>
      <c r="C28" s="8">
        <v>19.431540000000002</v>
      </c>
      <c r="D28" s="8">
        <v>101.51549999999999</v>
      </c>
      <c r="E28" s="8">
        <v>76.446322999999992</v>
      </c>
      <c r="F28" s="8">
        <v>186.19551999999999</v>
      </c>
      <c r="G28" s="8">
        <v>7353.8225899999998</v>
      </c>
    </row>
    <row r="29" spans="1:7" x14ac:dyDescent="0.2">
      <c r="A29" s="6" t="s">
        <v>241</v>
      </c>
      <c r="B29" s="7" t="s">
        <v>209</v>
      </c>
      <c r="C29" s="8">
        <v>17.377515000000002</v>
      </c>
      <c r="D29" s="8">
        <v>102.94312499999999</v>
      </c>
      <c r="E29" s="8">
        <v>78.611851000000001</v>
      </c>
      <c r="F29" s="8">
        <v>181.11412999999996</v>
      </c>
      <c r="G29" s="8">
        <v>7385.3259770000004</v>
      </c>
    </row>
    <row r="30" spans="1:7" x14ac:dyDescent="0.2">
      <c r="A30" s="6" t="s">
        <v>241</v>
      </c>
      <c r="B30" s="7" t="s">
        <v>208</v>
      </c>
      <c r="C30" s="8">
        <v>17.961770999999999</v>
      </c>
      <c r="D30" s="8">
        <v>100.897875</v>
      </c>
      <c r="E30" s="8">
        <v>74.487794000000008</v>
      </c>
      <c r="F30" s="8">
        <v>186.924589</v>
      </c>
      <c r="G30" s="8">
        <v>7298.1480869999996</v>
      </c>
    </row>
    <row r="31" spans="1:7" x14ac:dyDescent="0.2">
      <c r="A31" s="6" t="s">
        <v>241</v>
      </c>
      <c r="B31" s="7" t="s">
        <v>194</v>
      </c>
      <c r="C31" s="8">
        <v>18.774252000000001</v>
      </c>
      <c r="D31" s="8">
        <v>102.10275</v>
      </c>
      <c r="E31" s="8">
        <v>77.417625999999998</v>
      </c>
      <c r="F31" s="8">
        <v>190.83504999999997</v>
      </c>
      <c r="G31" s="8">
        <v>7331.4485319999994</v>
      </c>
    </row>
    <row r="32" spans="1:7" x14ac:dyDescent="0.2">
      <c r="A32" s="6" t="s">
        <v>241</v>
      </c>
      <c r="B32" s="7" t="s">
        <v>192</v>
      </c>
      <c r="C32" s="8">
        <v>18.345189000000001</v>
      </c>
      <c r="D32" s="8">
        <v>100.24987499999999</v>
      </c>
      <c r="E32" s="8">
        <v>74.854022999999998</v>
      </c>
      <c r="F32" s="8">
        <v>187.47691399999999</v>
      </c>
      <c r="G32" s="8">
        <v>7358.2123499999998</v>
      </c>
    </row>
    <row r="33" spans="1:7" x14ac:dyDescent="0.2">
      <c r="A33" s="6" t="s">
        <v>241</v>
      </c>
      <c r="B33" s="7" t="s">
        <v>195</v>
      </c>
      <c r="C33" s="8">
        <v>16.820646</v>
      </c>
      <c r="D33" s="8">
        <v>104.25937499999999</v>
      </c>
      <c r="E33" s="8">
        <v>79.089541000000011</v>
      </c>
      <c r="F33" s="8">
        <v>183.72110399999997</v>
      </c>
      <c r="G33" s="8">
        <v>7355.0366329999997</v>
      </c>
    </row>
    <row r="34" spans="1:7" x14ac:dyDescent="0.2">
      <c r="A34" s="6" t="s">
        <v>241</v>
      </c>
      <c r="B34" s="7" t="s">
        <v>189</v>
      </c>
      <c r="C34" s="8">
        <v>18.673833000000002</v>
      </c>
      <c r="D34" s="8">
        <v>98.194499999999991</v>
      </c>
      <c r="E34" s="8">
        <v>77.990853999999999</v>
      </c>
      <c r="F34" s="8">
        <v>191.27690999999999</v>
      </c>
      <c r="G34" s="8">
        <v>7465.7889059999998</v>
      </c>
    </row>
    <row r="35" spans="1:7" x14ac:dyDescent="0.2">
      <c r="A35" s="6" t="s">
        <v>241</v>
      </c>
      <c r="B35" s="7" t="s">
        <v>188</v>
      </c>
      <c r="C35" s="8">
        <v>19.623249000000001</v>
      </c>
      <c r="D35" s="8">
        <v>103.92524999999999</v>
      </c>
      <c r="E35" s="8">
        <v>73.277646000000004</v>
      </c>
      <c r="F35" s="8">
        <v>185.93040399999998</v>
      </c>
      <c r="G35" s="8">
        <v>7280.5135979999995</v>
      </c>
    </row>
    <row r="36" spans="1:7" x14ac:dyDescent="0.2">
      <c r="A36" s="6" t="s">
        <v>241</v>
      </c>
      <c r="B36" s="7" t="s">
        <v>193</v>
      </c>
      <c r="C36" s="8">
        <v>19.860603000000001</v>
      </c>
      <c r="D36" s="8">
        <v>102.06224999999999</v>
      </c>
      <c r="E36" s="8">
        <v>76.382631000000003</v>
      </c>
      <c r="F36" s="8">
        <v>187.16761199999999</v>
      </c>
      <c r="G36" s="8">
        <v>7305.5489479999987</v>
      </c>
    </row>
    <row r="37" spans="1:7" x14ac:dyDescent="0.2">
      <c r="A37" s="6" t="s">
        <v>241</v>
      </c>
      <c r="B37" s="7" t="s">
        <v>190</v>
      </c>
      <c r="C37" s="8">
        <v>16.099455000000003</v>
      </c>
      <c r="D37" s="8">
        <v>104.82637499999998</v>
      </c>
      <c r="E37" s="8">
        <v>72.306342999999998</v>
      </c>
      <c r="F37" s="8">
        <v>183.03622099999998</v>
      </c>
      <c r="G37" s="8">
        <v>7258.1875529999998</v>
      </c>
    </row>
    <row r="38" spans="1:7" x14ac:dyDescent="0.2">
      <c r="A38" s="6" t="s">
        <v>241</v>
      </c>
      <c r="B38" s="7" t="s">
        <v>191</v>
      </c>
      <c r="C38" s="8">
        <v>17.158419000000002</v>
      </c>
      <c r="D38" s="8">
        <v>98.801999999999992</v>
      </c>
      <c r="E38" s="8">
        <v>73.309492000000006</v>
      </c>
      <c r="F38" s="8">
        <v>185.02459099999999</v>
      </c>
      <c r="G38" s="8">
        <v>7240.2649860000001</v>
      </c>
    </row>
    <row r="39" spans="1:7" x14ac:dyDescent="0.2">
      <c r="A39" s="6" t="s">
        <v>241</v>
      </c>
      <c r="B39" s="7" t="s">
        <v>181</v>
      </c>
      <c r="C39" s="8">
        <v>19.641507000000001</v>
      </c>
      <c r="D39" s="8">
        <v>105.10987499999999</v>
      </c>
      <c r="E39" s="8">
        <v>73.134338999999997</v>
      </c>
      <c r="F39" s="8">
        <v>194.43620899999996</v>
      </c>
      <c r="G39" s="8">
        <v>7564.3938899999994</v>
      </c>
    </row>
    <row r="40" spans="1:7" x14ac:dyDescent="0.2">
      <c r="A40" s="6" t="s">
        <v>241</v>
      </c>
      <c r="B40" s="7" t="s">
        <v>182</v>
      </c>
      <c r="C40" s="8">
        <v>18.135222000000002</v>
      </c>
      <c r="D40" s="8">
        <v>103.32787499999999</v>
      </c>
      <c r="E40" s="8">
        <v>76.462246000000007</v>
      </c>
      <c r="F40" s="8">
        <v>183.38970899999998</v>
      </c>
      <c r="G40" s="8">
        <v>7295.3153199999988</v>
      </c>
    </row>
    <row r="41" spans="1:7" x14ac:dyDescent="0.2">
      <c r="A41" s="15" t="s">
        <v>284</v>
      </c>
      <c r="B41" s="16"/>
      <c r="C41" s="17">
        <f t="shared" ref="C41:F41" si="2">AVERAGE(C28:C40)</f>
        <v>18.300246230769229</v>
      </c>
      <c r="D41" s="17">
        <f t="shared" si="2"/>
        <v>102.17050961538459</v>
      </c>
      <c r="E41" s="17">
        <f t="shared" si="2"/>
        <v>75.67466992307692</v>
      </c>
      <c r="F41" s="17">
        <f t="shared" si="2"/>
        <v>186.65607407692306</v>
      </c>
      <c r="G41" s="17">
        <f>AVERAGE(G28:G40)</f>
        <v>7345.5390284615369</v>
      </c>
    </row>
    <row r="42" spans="1:7" s="3" customFormat="1" x14ac:dyDescent="0.2">
      <c r="A42" s="9" t="s">
        <v>236</v>
      </c>
      <c r="B42" s="10" t="s">
        <v>227</v>
      </c>
      <c r="C42" s="11">
        <v>19.640256000000001</v>
      </c>
      <c r="D42" s="11">
        <v>59.162125000000003</v>
      </c>
      <c r="E42" s="11">
        <v>10.274319</v>
      </c>
      <c r="F42" s="11">
        <v>188.862629</v>
      </c>
      <c r="G42" s="11">
        <v>5606.7932000000001</v>
      </c>
    </row>
    <row r="43" spans="1:7" s="3" customFormat="1" x14ac:dyDescent="0.2">
      <c r="A43" s="9" t="s">
        <v>236</v>
      </c>
      <c r="B43" s="10" t="s">
        <v>227</v>
      </c>
      <c r="C43" s="11">
        <v>19.761312000000004</v>
      </c>
      <c r="D43" s="11">
        <v>59.172499999999999</v>
      </c>
      <c r="E43" s="11">
        <v>10.559277</v>
      </c>
      <c r="F43" s="11">
        <v>191.18227700000003</v>
      </c>
      <c r="G43" s="11">
        <v>5531.8682079999999</v>
      </c>
    </row>
    <row r="44" spans="1:7" s="3" customFormat="1" x14ac:dyDescent="0.2">
      <c r="A44" s="9" t="s">
        <v>236</v>
      </c>
      <c r="B44" s="10" t="s">
        <v>227</v>
      </c>
      <c r="C44" s="11">
        <v>18.895295999999998</v>
      </c>
      <c r="D44" s="11">
        <v>59.618625000000009</v>
      </c>
      <c r="E44" s="11">
        <v>10.036854</v>
      </c>
      <c r="F44" s="11">
        <v>192.94617599999998</v>
      </c>
      <c r="G44" s="11">
        <v>5589.5195160000003</v>
      </c>
    </row>
    <row r="45" spans="1:7" s="3" customFormat="1" x14ac:dyDescent="0.2">
      <c r="A45" s="9" t="s">
        <v>236</v>
      </c>
      <c r="B45" s="10" t="s">
        <v>227</v>
      </c>
      <c r="C45" s="11">
        <v>20.478336000000002</v>
      </c>
      <c r="D45" s="11">
        <v>58.207625000000007</v>
      </c>
      <c r="E45" s="11">
        <v>11.034206999999999</v>
      </c>
      <c r="F45" s="11">
        <v>190.699017</v>
      </c>
      <c r="G45" s="11">
        <v>5538.4272459999993</v>
      </c>
    </row>
    <row r="46" spans="1:7" s="3" customFormat="1" x14ac:dyDescent="0.2">
      <c r="A46" s="9" t="s">
        <v>236</v>
      </c>
      <c r="B46" s="10" t="s">
        <v>227</v>
      </c>
      <c r="C46" s="11">
        <v>19.919616000000001</v>
      </c>
      <c r="D46" s="11">
        <v>59.442250000000001</v>
      </c>
      <c r="E46" s="11">
        <v>11.39832</v>
      </c>
      <c r="F46" s="11">
        <v>190.19159399999998</v>
      </c>
      <c r="G46" s="11">
        <v>5602.9942300000002</v>
      </c>
    </row>
    <row r="47" spans="1:7" s="3" customFormat="1" x14ac:dyDescent="0.2">
      <c r="A47" s="15" t="s">
        <v>284</v>
      </c>
      <c r="B47" s="18"/>
      <c r="C47" s="19">
        <f t="shared" ref="C47:F47" si="3">AVERAGE(C42:C46)</f>
        <v>19.738963200000001</v>
      </c>
      <c r="D47" s="19">
        <f t="shared" si="3"/>
        <v>59.120625000000004</v>
      </c>
      <c r="E47" s="19">
        <f t="shared" si="3"/>
        <v>10.6605954</v>
      </c>
      <c r="F47" s="19">
        <f t="shared" si="3"/>
        <v>190.7763386</v>
      </c>
      <c r="G47" s="19">
        <f>AVERAGE(G42:G46)</f>
        <v>5573.9204799999998</v>
      </c>
    </row>
    <row r="48" spans="1:7" x14ac:dyDescent="0.2">
      <c r="A48" s="6" t="s">
        <v>242</v>
      </c>
      <c r="B48" s="7" t="s">
        <v>2</v>
      </c>
      <c r="C48" s="8">
        <v>17.185806000000003</v>
      </c>
      <c r="D48" s="8">
        <v>309.06787499999996</v>
      </c>
      <c r="E48" s="8">
        <v>53.453510999999999</v>
      </c>
      <c r="F48" s="8">
        <v>223.40013199999996</v>
      </c>
      <c r="G48" s="8">
        <v>11856.618909999999</v>
      </c>
    </row>
    <row r="49" spans="1:7" x14ac:dyDescent="0.2">
      <c r="A49" s="6" t="s">
        <v>242</v>
      </c>
      <c r="B49" s="7" t="s">
        <v>1</v>
      </c>
      <c r="C49" s="8">
        <v>16.391583000000001</v>
      </c>
      <c r="D49" s="8">
        <v>306.37462500000004</v>
      </c>
      <c r="E49" s="8">
        <v>52.784745000000001</v>
      </c>
      <c r="F49" s="8">
        <v>219.13618299999999</v>
      </c>
      <c r="G49" s="8">
        <v>11835.095368</v>
      </c>
    </row>
    <row r="50" spans="1:7" x14ac:dyDescent="0.2">
      <c r="A50" s="6" t="s">
        <v>242</v>
      </c>
      <c r="B50" s="7" t="s">
        <v>4</v>
      </c>
      <c r="C50" s="8">
        <v>16.674582000000001</v>
      </c>
      <c r="D50" s="8">
        <v>302.50687500000004</v>
      </c>
      <c r="E50" s="8">
        <v>54.806966000000003</v>
      </c>
      <c r="F50" s="8">
        <v>220.30711199999999</v>
      </c>
      <c r="G50" s="8">
        <v>11647.337102</v>
      </c>
    </row>
    <row r="51" spans="1:7" x14ac:dyDescent="0.2">
      <c r="A51" s="6" t="s">
        <v>242</v>
      </c>
      <c r="B51" s="7" t="s">
        <v>3</v>
      </c>
      <c r="C51" s="8">
        <v>13.844592000000002</v>
      </c>
      <c r="D51" s="8">
        <v>307.123875</v>
      </c>
      <c r="E51" s="8">
        <v>51.972672000000003</v>
      </c>
      <c r="F51" s="8">
        <v>214.47456</v>
      </c>
      <c r="G51" s="8">
        <v>11648.455118999998</v>
      </c>
    </row>
    <row r="52" spans="1:7" x14ac:dyDescent="0.2">
      <c r="A52" s="6" t="s">
        <v>242</v>
      </c>
      <c r="B52" s="7" t="s">
        <v>5</v>
      </c>
      <c r="C52" s="8">
        <v>16.674582000000001</v>
      </c>
      <c r="D52" s="8">
        <v>305.04825</v>
      </c>
      <c r="E52" s="8">
        <v>48.549227000000002</v>
      </c>
      <c r="F52" s="8">
        <v>227.95128999999997</v>
      </c>
      <c r="G52" s="8">
        <v>11711.653944999998</v>
      </c>
    </row>
    <row r="53" spans="1:7" x14ac:dyDescent="0.2">
      <c r="A53" s="6" t="s">
        <v>242</v>
      </c>
      <c r="B53" s="7" t="s">
        <v>6</v>
      </c>
      <c r="C53" s="8">
        <v>17.934384000000001</v>
      </c>
      <c r="D53" s="8">
        <v>310.10062500000004</v>
      </c>
      <c r="E53" s="8">
        <v>57.625336999999995</v>
      </c>
      <c r="F53" s="8">
        <v>226.80245399999998</v>
      </c>
      <c r="G53" s="8">
        <v>12038.965424999999</v>
      </c>
    </row>
    <row r="54" spans="1:7" x14ac:dyDescent="0.2">
      <c r="A54" s="6" t="s">
        <v>242</v>
      </c>
      <c r="B54" s="7" t="s">
        <v>7</v>
      </c>
      <c r="C54" s="8">
        <v>14.949201000000002</v>
      </c>
      <c r="D54" s="8">
        <v>302.73974999999996</v>
      </c>
      <c r="E54" s="8">
        <v>55.252810000000004</v>
      </c>
      <c r="F54" s="8">
        <v>212.13270199999997</v>
      </c>
      <c r="G54" s="8">
        <v>11620.559566</v>
      </c>
    </row>
    <row r="55" spans="1:7" x14ac:dyDescent="0.2">
      <c r="A55" s="6" t="s">
        <v>242</v>
      </c>
      <c r="B55" s="7" t="s">
        <v>8</v>
      </c>
      <c r="C55" s="8">
        <v>16.473744</v>
      </c>
      <c r="D55" s="8">
        <v>302.97262499999999</v>
      </c>
      <c r="E55" s="8">
        <v>58.469256000000001</v>
      </c>
      <c r="F55" s="8">
        <v>220.74897199999998</v>
      </c>
      <c r="G55" s="8">
        <v>11741.812968</v>
      </c>
    </row>
    <row r="56" spans="1:7" x14ac:dyDescent="0.2">
      <c r="A56" s="15" t="s">
        <v>284</v>
      </c>
      <c r="B56" s="16"/>
      <c r="C56" s="17">
        <f>AVERAGE(C48:C55)</f>
        <v>16.266059250000001</v>
      </c>
      <c r="D56" s="17">
        <f t="shared" ref="D56:G56" si="4">AVERAGE(D48:D55)</f>
        <v>305.74181249999998</v>
      </c>
      <c r="E56" s="17">
        <f t="shared" si="4"/>
        <v>54.114315500000004</v>
      </c>
      <c r="F56" s="17">
        <f t="shared" si="4"/>
        <v>220.61917562499997</v>
      </c>
      <c r="G56" s="17">
        <f t="shared" si="4"/>
        <v>11762.562300374999</v>
      </c>
    </row>
    <row r="57" spans="1:7" x14ac:dyDescent="0.2">
      <c r="A57" s="6" t="s">
        <v>243</v>
      </c>
      <c r="B57" s="7" t="s">
        <v>158</v>
      </c>
      <c r="C57" s="8">
        <v>18.536898000000004</v>
      </c>
      <c r="D57" s="8">
        <v>119.03174999999999</v>
      </c>
      <c r="E57" s="8">
        <v>91.461712000000006</v>
      </c>
      <c r="F57" s="8">
        <v>176.607158</v>
      </c>
      <c r="G57" s="8">
        <v>7537.4585969999998</v>
      </c>
    </row>
    <row r="58" spans="1:7" x14ac:dyDescent="0.2">
      <c r="A58" s="6" t="s">
        <v>243</v>
      </c>
      <c r="B58" s="7" t="s">
        <v>159</v>
      </c>
      <c r="C58" s="8">
        <v>20.180118000000004</v>
      </c>
      <c r="D58" s="8">
        <v>116.4195</v>
      </c>
      <c r="E58" s="8">
        <v>87.719807000000003</v>
      </c>
      <c r="F58" s="8">
        <v>174.92808999999997</v>
      </c>
      <c r="G58" s="8">
        <v>7479.7881249999991</v>
      </c>
    </row>
    <row r="59" spans="1:7" x14ac:dyDescent="0.2">
      <c r="A59" s="6" t="s">
        <v>243</v>
      </c>
      <c r="B59" s="7" t="s">
        <v>157</v>
      </c>
      <c r="C59" s="8">
        <v>16.647195000000004</v>
      </c>
      <c r="D59" s="8">
        <v>107.37787499999999</v>
      </c>
      <c r="E59" s="8">
        <v>88.531880000000001</v>
      </c>
      <c r="F59" s="8">
        <v>171.19437299999998</v>
      </c>
      <c r="G59" s="8">
        <v>7475.3503520000004</v>
      </c>
    </row>
    <row r="60" spans="1:7" x14ac:dyDescent="0.2">
      <c r="A60" s="6" t="s">
        <v>243</v>
      </c>
      <c r="B60" s="7" t="s">
        <v>156</v>
      </c>
      <c r="C60" s="8">
        <v>18.975090000000002</v>
      </c>
      <c r="D60" s="8">
        <v>119.69999999999999</v>
      </c>
      <c r="E60" s="8">
        <v>92.544476000000003</v>
      </c>
      <c r="F60" s="8">
        <v>174.08855599999998</v>
      </c>
      <c r="G60" s="8">
        <v>7482.867815999999</v>
      </c>
    </row>
    <row r="61" spans="1:7" x14ac:dyDescent="0.2">
      <c r="A61" s="6" t="s">
        <v>243</v>
      </c>
      <c r="B61" s="7" t="s">
        <v>153</v>
      </c>
      <c r="C61" s="8">
        <v>17.605740000000004</v>
      </c>
      <c r="D61" s="8">
        <v>114.54637499999998</v>
      </c>
      <c r="E61" s="8">
        <v>91.461712000000006</v>
      </c>
      <c r="F61" s="8">
        <v>174.79553199999998</v>
      </c>
      <c r="G61" s="8">
        <v>7502.6217360000001</v>
      </c>
    </row>
    <row r="62" spans="1:7" x14ac:dyDescent="0.2">
      <c r="A62" s="6" t="s">
        <v>243</v>
      </c>
      <c r="B62" s="7" t="s">
        <v>154</v>
      </c>
      <c r="C62" s="8">
        <v>17.423159999999999</v>
      </c>
      <c r="D62" s="8">
        <v>110.44574999999999</v>
      </c>
      <c r="E62" s="8">
        <v>88.99364700000001</v>
      </c>
      <c r="F62" s="8">
        <v>174.48622999999998</v>
      </c>
      <c r="G62" s="8">
        <v>7359.2343409999994</v>
      </c>
    </row>
    <row r="63" spans="1:7" x14ac:dyDescent="0.2">
      <c r="A63" s="6" t="s">
        <v>243</v>
      </c>
      <c r="B63" s="7" t="s">
        <v>155</v>
      </c>
      <c r="C63" s="8">
        <v>17.140161000000003</v>
      </c>
      <c r="D63" s="8">
        <v>111.11399999999999</v>
      </c>
      <c r="E63" s="8">
        <v>89.566874999999996</v>
      </c>
      <c r="F63" s="8">
        <v>174.839718</v>
      </c>
      <c r="G63" s="8">
        <v>7233.6254740000004</v>
      </c>
    </row>
    <row r="64" spans="1:7" x14ac:dyDescent="0.2">
      <c r="A64" s="6" t="s">
        <v>243</v>
      </c>
      <c r="B64" s="7" t="s">
        <v>152</v>
      </c>
      <c r="C64" s="8">
        <v>14.620557</v>
      </c>
      <c r="D64" s="8">
        <v>111.14437499999998</v>
      </c>
      <c r="E64" s="8">
        <v>90.251564000000002</v>
      </c>
      <c r="F64" s="8">
        <v>177.49087799999995</v>
      </c>
      <c r="G64" s="8">
        <v>7592.646111</v>
      </c>
    </row>
    <row r="65" spans="1:7" x14ac:dyDescent="0.2">
      <c r="A65" s="15" t="s">
        <v>284</v>
      </c>
      <c r="B65" s="16"/>
      <c r="C65" s="17">
        <f>AVERAGE(C57:C64)</f>
        <v>17.641114875</v>
      </c>
      <c r="D65" s="17">
        <f t="shared" ref="D65:G65" si="5">AVERAGE(D57:D64)</f>
        <v>113.72245312499999</v>
      </c>
      <c r="E65" s="17">
        <f t="shared" si="5"/>
        <v>90.066459125000009</v>
      </c>
      <c r="F65" s="17">
        <f t="shared" si="5"/>
        <v>174.80381687499994</v>
      </c>
      <c r="G65" s="17">
        <f t="shared" si="5"/>
        <v>7457.9490689999993</v>
      </c>
    </row>
    <row r="66" spans="1:7" x14ac:dyDescent="0.2">
      <c r="A66" s="6" t="s">
        <v>244</v>
      </c>
      <c r="B66" s="7" t="s">
        <v>185</v>
      </c>
      <c r="C66" s="8">
        <v>17.669643000000004</v>
      </c>
      <c r="D66" s="8">
        <v>63.202500000000008</v>
      </c>
      <c r="E66" s="8">
        <v>47.116157000000001</v>
      </c>
      <c r="F66" s="8">
        <v>174.46413699999999</v>
      </c>
      <c r="G66" s="8">
        <v>6045.1459669999995</v>
      </c>
    </row>
    <row r="67" spans="1:7" x14ac:dyDescent="0.2">
      <c r="A67" s="6" t="s">
        <v>244</v>
      </c>
      <c r="B67" s="7" t="s">
        <v>184</v>
      </c>
      <c r="C67" s="8">
        <v>18.682962000000003</v>
      </c>
      <c r="D67" s="8">
        <v>66.563999999999993</v>
      </c>
      <c r="E67" s="8">
        <v>45.937855000000006</v>
      </c>
      <c r="F67" s="8">
        <v>173.66878899999998</v>
      </c>
      <c r="G67" s="8">
        <v>5941.918017</v>
      </c>
    </row>
    <row r="68" spans="1:7" x14ac:dyDescent="0.2">
      <c r="A68" s="6" t="s">
        <v>244</v>
      </c>
      <c r="B68" s="7" t="s">
        <v>186</v>
      </c>
      <c r="C68" s="8">
        <v>17.076258000000003</v>
      </c>
      <c r="D68" s="8">
        <v>65.41987499999999</v>
      </c>
      <c r="E68" s="8">
        <v>45.651241000000006</v>
      </c>
      <c r="F68" s="8">
        <v>168.94088699999998</v>
      </c>
      <c r="G68" s="8">
        <v>6257.6309279999996</v>
      </c>
    </row>
    <row r="69" spans="1:7" x14ac:dyDescent="0.2">
      <c r="A69" s="6" t="s">
        <v>244</v>
      </c>
      <c r="B69" s="7" t="s">
        <v>162</v>
      </c>
      <c r="C69" s="8">
        <v>15.661263000000002</v>
      </c>
      <c r="D69" s="8">
        <v>80.414999999999992</v>
      </c>
      <c r="E69" s="8">
        <v>44.441093000000002</v>
      </c>
      <c r="F69" s="8">
        <v>141.65603199999998</v>
      </c>
      <c r="G69" s="8">
        <v>6241.8552279999994</v>
      </c>
    </row>
    <row r="70" spans="1:7" x14ac:dyDescent="0.2">
      <c r="A70" s="6" t="s">
        <v>244</v>
      </c>
      <c r="B70" s="7" t="s">
        <v>160</v>
      </c>
      <c r="C70" s="8">
        <v>13.278594000000002</v>
      </c>
      <c r="D70" s="8">
        <v>65.612249999999989</v>
      </c>
      <c r="E70" s="8">
        <v>42.641794000000004</v>
      </c>
      <c r="F70" s="8">
        <v>141.89905499999998</v>
      </c>
      <c r="G70" s="8">
        <v>5955.7869149999997</v>
      </c>
    </row>
    <row r="71" spans="1:7" x14ac:dyDescent="0.2">
      <c r="A71" s="6" t="s">
        <v>244</v>
      </c>
      <c r="B71" s="7" t="s">
        <v>161</v>
      </c>
      <c r="C71" s="8">
        <v>14.556654000000004</v>
      </c>
      <c r="D71" s="8">
        <v>62.139375000000008</v>
      </c>
      <c r="E71" s="8">
        <v>43.915633999999997</v>
      </c>
      <c r="F71" s="8">
        <v>137.65719899999999</v>
      </c>
      <c r="G71" s="8">
        <v>5703.4991769999997</v>
      </c>
    </row>
    <row r="72" spans="1:7" x14ac:dyDescent="0.2">
      <c r="A72" s="6" t="s">
        <v>244</v>
      </c>
      <c r="B72" s="7" t="s">
        <v>161</v>
      </c>
      <c r="C72" s="8">
        <v>15.341748000000003</v>
      </c>
      <c r="D72" s="8">
        <v>72.770624999999995</v>
      </c>
      <c r="E72" s="8">
        <v>44.695861000000001</v>
      </c>
      <c r="F72" s="8">
        <v>142.849054</v>
      </c>
      <c r="G72" s="8">
        <v>6059.817368</v>
      </c>
    </row>
    <row r="73" spans="1:7" x14ac:dyDescent="0.2">
      <c r="A73" s="6" t="s">
        <v>245</v>
      </c>
      <c r="B73" s="7" t="s">
        <v>174</v>
      </c>
      <c r="C73" s="8">
        <v>18.783381000000002</v>
      </c>
      <c r="D73" s="8">
        <v>61.876124999999995</v>
      </c>
      <c r="E73" s="8">
        <v>11.416791</v>
      </c>
      <c r="F73" s="8">
        <v>206.78619599999996</v>
      </c>
      <c r="G73" s="8">
        <v>5473.6266509999996</v>
      </c>
    </row>
    <row r="74" spans="1:7" x14ac:dyDescent="0.2">
      <c r="A74" s="6" t="s">
        <v>245</v>
      </c>
      <c r="B74" s="7" t="s">
        <v>173</v>
      </c>
      <c r="C74" s="8">
        <v>21.394275</v>
      </c>
      <c r="D74" s="8">
        <v>60.691499999999998</v>
      </c>
      <c r="E74" s="8">
        <v>8.0092690000000015</v>
      </c>
      <c r="F74" s="8">
        <v>213.19316599999999</v>
      </c>
      <c r="G74" s="8">
        <v>5497.4136629999994</v>
      </c>
    </row>
    <row r="75" spans="1:7" x14ac:dyDescent="0.2">
      <c r="A75" s="6" t="s">
        <v>245</v>
      </c>
      <c r="B75" s="7" t="s">
        <v>171</v>
      </c>
      <c r="C75" s="8">
        <v>18.199125000000002</v>
      </c>
      <c r="D75" s="8">
        <v>59.020874999999997</v>
      </c>
      <c r="E75" s="8">
        <v>7.4838100000000001</v>
      </c>
      <c r="F75" s="8">
        <v>210.12223899999998</v>
      </c>
      <c r="G75" s="8">
        <v>5498.5728339999996</v>
      </c>
    </row>
    <row r="76" spans="1:7" x14ac:dyDescent="0.2">
      <c r="A76" s="6" t="s">
        <v>245</v>
      </c>
      <c r="B76" s="7" t="s">
        <v>172</v>
      </c>
      <c r="C76" s="8">
        <v>21.759435</v>
      </c>
      <c r="D76" s="8">
        <v>61.440749999999987</v>
      </c>
      <c r="E76" s="8">
        <v>9.6174920000000004</v>
      </c>
      <c r="F76" s="8">
        <v>212.04432999999997</v>
      </c>
      <c r="G76" s="8">
        <v>5445.0863519999994</v>
      </c>
    </row>
    <row r="77" spans="1:7" x14ac:dyDescent="0.2">
      <c r="A77" s="15" t="s">
        <v>284</v>
      </c>
      <c r="B77" s="16"/>
      <c r="C77" s="17">
        <f>AVERAGE(C66:C76)</f>
        <v>17.491212545454548</v>
      </c>
      <c r="D77" s="17">
        <f t="shared" ref="D77:G77" si="6">AVERAGE(D66:D76)</f>
        <v>65.377534090909094</v>
      </c>
      <c r="E77" s="17">
        <f t="shared" si="6"/>
        <v>31.902454272727276</v>
      </c>
      <c r="F77" s="17">
        <f t="shared" si="6"/>
        <v>174.8437349090909</v>
      </c>
      <c r="G77" s="17">
        <f t="shared" si="6"/>
        <v>5829.1230090909094</v>
      </c>
    </row>
    <row r="78" spans="1:7" x14ac:dyDescent="0.2">
      <c r="A78" s="6" t="s">
        <v>246</v>
      </c>
      <c r="B78" s="7" t="s">
        <v>143</v>
      </c>
      <c r="C78" s="8">
        <v>13.871979000000003</v>
      </c>
      <c r="D78" s="8">
        <v>39.297375000000002</v>
      </c>
      <c r="E78" s="8">
        <v>72.163036000000005</v>
      </c>
      <c r="F78" s="8">
        <v>131.91301899999999</v>
      </c>
      <c r="G78" s="8">
        <v>5194.9043270000002</v>
      </c>
    </row>
    <row r="79" spans="1:7" x14ac:dyDescent="0.2">
      <c r="A79" s="6" t="s">
        <v>246</v>
      </c>
      <c r="B79" s="7" t="s">
        <v>139</v>
      </c>
      <c r="C79" s="8">
        <v>11.662761000000001</v>
      </c>
      <c r="D79" s="8">
        <v>42.061500000000002</v>
      </c>
      <c r="E79" s="8">
        <v>74.519639999999995</v>
      </c>
      <c r="F79" s="8">
        <v>130.47697399999998</v>
      </c>
      <c r="G79" s="8">
        <v>5075.9075359999997</v>
      </c>
    </row>
    <row r="80" spans="1:7" x14ac:dyDescent="0.2">
      <c r="A80" s="6" t="s">
        <v>246</v>
      </c>
      <c r="B80" s="7" t="s">
        <v>141</v>
      </c>
      <c r="C80" s="8">
        <v>13.242078000000001</v>
      </c>
      <c r="D80" s="8">
        <v>43.934625000000004</v>
      </c>
      <c r="E80" s="8">
        <v>74.869946000000013</v>
      </c>
      <c r="F80" s="8">
        <v>133.41534299999998</v>
      </c>
      <c r="G80" s="8">
        <v>5080.9146060000003</v>
      </c>
    </row>
    <row r="81" spans="1:7" x14ac:dyDescent="0.2">
      <c r="A81" s="6" t="s">
        <v>246</v>
      </c>
      <c r="B81" s="7" t="s">
        <v>142</v>
      </c>
      <c r="C81" s="8">
        <v>14.556654000000004</v>
      </c>
      <c r="D81" s="8">
        <v>41.869125000000004</v>
      </c>
      <c r="E81" s="8">
        <v>73.978257999999997</v>
      </c>
      <c r="F81" s="8">
        <v>134.18859799999998</v>
      </c>
      <c r="G81" s="8">
        <v>5148.6335129999989</v>
      </c>
    </row>
    <row r="82" spans="1:7" x14ac:dyDescent="0.2">
      <c r="A82" s="6" t="s">
        <v>246</v>
      </c>
      <c r="B82" s="7" t="s">
        <v>140</v>
      </c>
      <c r="C82" s="8">
        <v>13.488561000000001</v>
      </c>
      <c r="D82" s="8">
        <v>40.836374999999997</v>
      </c>
      <c r="E82" s="8">
        <v>78.341160000000002</v>
      </c>
      <c r="F82" s="8">
        <v>136.33161899999999</v>
      </c>
      <c r="G82" s="8">
        <v>5055.5980369999997</v>
      </c>
    </row>
    <row r="83" spans="1:7" x14ac:dyDescent="0.2">
      <c r="A83" s="6" t="s">
        <v>246</v>
      </c>
      <c r="B83" s="7" t="s">
        <v>134</v>
      </c>
      <c r="C83" s="8">
        <v>12.411339000000002</v>
      </c>
      <c r="D83" s="8">
        <v>35.662500000000001</v>
      </c>
      <c r="E83" s="8">
        <v>70.889196000000013</v>
      </c>
      <c r="F83" s="8">
        <v>122.61186599999998</v>
      </c>
      <c r="G83" s="8">
        <v>4865.3568129999994</v>
      </c>
    </row>
    <row r="84" spans="1:7" x14ac:dyDescent="0.2">
      <c r="A84" s="6" t="s">
        <v>246</v>
      </c>
      <c r="B84" s="7" t="s">
        <v>132</v>
      </c>
      <c r="C84" s="8">
        <v>13.452045000000002</v>
      </c>
      <c r="D84" s="8">
        <v>38.730375000000002</v>
      </c>
      <c r="E84" s="8">
        <v>76.748860000000008</v>
      </c>
      <c r="F84" s="8">
        <v>135.55836399999998</v>
      </c>
      <c r="G84" s="8">
        <v>5039.774324</v>
      </c>
    </row>
    <row r="85" spans="1:7" x14ac:dyDescent="0.2">
      <c r="A85" s="6" t="s">
        <v>246</v>
      </c>
      <c r="B85" s="7" t="s">
        <v>133</v>
      </c>
      <c r="C85" s="8">
        <v>12.265275000000001</v>
      </c>
      <c r="D85" s="8">
        <v>46.556999999999995</v>
      </c>
      <c r="E85" s="8">
        <v>78.834772999999998</v>
      </c>
      <c r="F85" s="8">
        <v>126.94209399999998</v>
      </c>
      <c r="G85" s="8">
        <v>5086.6281529999997</v>
      </c>
    </row>
    <row r="86" spans="1:7" x14ac:dyDescent="0.2">
      <c r="A86" s="6" t="s">
        <v>246</v>
      </c>
      <c r="B86" s="7" t="s">
        <v>138</v>
      </c>
      <c r="C86" s="8">
        <v>13.972398000000002</v>
      </c>
      <c r="D86" s="8">
        <v>44.552250000000001</v>
      </c>
      <c r="E86" s="8">
        <v>78.787003999999996</v>
      </c>
      <c r="F86" s="8">
        <v>128.35604599999999</v>
      </c>
      <c r="G86" s="8">
        <v>5274.7225099999996</v>
      </c>
    </row>
    <row r="87" spans="1:7" x14ac:dyDescent="0.2">
      <c r="A87" s="6" t="s">
        <v>246</v>
      </c>
      <c r="B87" s="7" t="s">
        <v>131</v>
      </c>
      <c r="C87" s="8">
        <v>15.706908000000002</v>
      </c>
      <c r="D87" s="8">
        <v>44.319374999999994</v>
      </c>
      <c r="E87" s="8">
        <v>73.930489000000009</v>
      </c>
      <c r="F87" s="8">
        <v>134.27696999999998</v>
      </c>
      <c r="G87" s="8">
        <v>4972.8716379999996</v>
      </c>
    </row>
    <row r="88" spans="1:7" x14ac:dyDescent="0.2">
      <c r="A88" s="6" t="s">
        <v>246</v>
      </c>
      <c r="B88" s="7" t="s">
        <v>136</v>
      </c>
      <c r="C88" s="8">
        <v>10.119960000000001</v>
      </c>
      <c r="D88" s="8">
        <v>42.243749999999999</v>
      </c>
      <c r="E88" s="8">
        <v>77.688316999999998</v>
      </c>
      <c r="F88" s="8">
        <v>130.454881</v>
      </c>
      <c r="G88" s="8">
        <v>5143.0914409999996</v>
      </c>
    </row>
    <row r="89" spans="1:7" x14ac:dyDescent="0.2">
      <c r="A89" s="6" t="s">
        <v>246</v>
      </c>
      <c r="B89" s="7" t="s">
        <v>137</v>
      </c>
      <c r="C89" s="8">
        <v>11.142408000000001</v>
      </c>
      <c r="D89" s="8">
        <v>36.381374999999998</v>
      </c>
      <c r="E89" s="8">
        <v>74.53556300000001</v>
      </c>
      <c r="F89" s="8">
        <v>127.11883799999998</v>
      </c>
      <c r="G89" s="8">
        <v>5076.7511930000001</v>
      </c>
    </row>
    <row r="90" spans="1:7" x14ac:dyDescent="0.2">
      <c r="A90" s="6" t="s">
        <v>246</v>
      </c>
      <c r="B90" s="7" t="s">
        <v>135</v>
      </c>
      <c r="C90" s="8">
        <v>13.169046000000002</v>
      </c>
      <c r="D90" s="8">
        <v>42.162750000000003</v>
      </c>
      <c r="E90" s="8">
        <v>75.490943000000001</v>
      </c>
      <c r="F90" s="8">
        <v>135.889759</v>
      </c>
      <c r="G90" s="8">
        <v>5129.7712629999996</v>
      </c>
    </row>
    <row r="91" spans="1:7" x14ac:dyDescent="0.2">
      <c r="A91" s="6" t="s">
        <v>246</v>
      </c>
      <c r="B91" s="7" t="s">
        <v>215</v>
      </c>
      <c r="C91" s="8">
        <v>13.123401000000001</v>
      </c>
      <c r="D91" s="8">
        <v>43.934625000000004</v>
      </c>
      <c r="E91" s="8">
        <v>73.564260000000004</v>
      </c>
      <c r="F91" s="8">
        <v>127.27348899999998</v>
      </c>
      <c r="G91" s="8">
        <v>5172.2078959999999</v>
      </c>
    </row>
    <row r="92" spans="1:7" x14ac:dyDescent="0.2">
      <c r="A92" s="6" t="s">
        <v>246</v>
      </c>
      <c r="B92" s="7" t="s">
        <v>214</v>
      </c>
      <c r="C92" s="8">
        <v>13.205562</v>
      </c>
      <c r="D92" s="8">
        <v>43.802999999999997</v>
      </c>
      <c r="E92" s="8">
        <v>74.838099999999997</v>
      </c>
      <c r="F92" s="8">
        <v>130.87464799999998</v>
      </c>
      <c r="G92" s="8">
        <v>5143.9419569999991</v>
      </c>
    </row>
    <row r="93" spans="1:7" x14ac:dyDescent="0.2">
      <c r="A93" s="6" t="s">
        <v>246</v>
      </c>
      <c r="B93" s="7" t="s">
        <v>212</v>
      </c>
      <c r="C93" s="8">
        <v>13.169046000000002</v>
      </c>
      <c r="D93" s="8">
        <v>42.608249999999998</v>
      </c>
      <c r="E93" s="8">
        <v>73.643875000000008</v>
      </c>
      <c r="F93" s="8">
        <v>134.45371399999999</v>
      </c>
      <c r="G93" s="8">
        <v>5016.0559020000001</v>
      </c>
    </row>
    <row r="94" spans="1:7" x14ac:dyDescent="0.2">
      <c r="A94" s="6" t="s">
        <v>246</v>
      </c>
      <c r="B94" s="7" t="s">
        <v>211</v>
      </c>
      <c r="C94" s="8">
        <v>12.676080000000001</v>
      </c>
      <c r="D94" s="8">
        <v>49.037624999999998</v>
      </c>
      <c r="E94" s="8">
        <v>77.736086</v>
      </c>
      <c r="F94" s="8">
        <v>133.48162199999999</v>
      </c>
      <c r="G94" s="8">
        <v>5343.737768</v>
      </c>
    </row>
    <row r="95" spans="1:7" x14ac:dyDescent="0.2">
      <c r="A95" s="6" t="s">
        <v>246</v>
      </c>
      <c r="B95" s="7" t="s">
        <v>213</v>
      </c>
      <c r="C95" s="8">
        <v>14.520138000000001</v>
      </c>
      <c r="D95" s="8">
        <v>43.225874999999995</v>
      </c>
      <c r="E95" s="8">
        <v>74.901792</v>
      </c>
      <c r="F95" s="8">
        <v>134.34324899999999</v>
      </c>
      <c r="G95" s="8">
        <v>5073.8018229999998</v>
      </c>
    </row>
    <row r="96" spans="1:7" x14ac:dyDescent="0.2">
      <c r="A96" s="6" t="s">
        <v>246</v>
      </c>
      <c r="B96" s="7" t="s">
        <v>217</v>
      </c>
      <c r="C96" s="8">
        <v>12.721725000000001</v>
      </c>
      <c r="D96" s="8">
        <v>46.425375000000003</v>
      </c>
      <c r="E96" s="8">
        <v>75.156560000000013</v>
      </c>
      <c r="F96" s="8">
        <v>134.69673699999998</v>
      </c>
      <c r="G96" s="8">
        <v>5144.4769589999996</v>
      </c>
    </row>
    <row r="97" spans="1:7" x14ac:dyDescent="0.2">
      <c r="A97" s="6" t="s">
        <v>246</v>
      </c>
      <c r="B97" s="7" t="s">
        <v>216</v>
      </c>
      <c r="C97" s="8">
        <v>12.201372000000001</v>
      </c>
      <c r="D97" s="8">
        <v>42.314624999999999</v>
      </c>
      <c r="E97" s="8">
        <v>73.898642999999993</v>
      </c>
      <c r="F97" s="8">
        <v>124.07000399999998</v>
      </c>
      <c r="G97" s="8">
        <v>4890.1452389999995</v>
      </c>
    </row>
    <row r="98" spans="1:7" x14ac:dyDescent="0.2">
      <c r="A98" s="6" t="s">
        <v>246</v>
      </c>
      <c r="B98" s="7" t="s">
        <v>218</v>
      </c>
      <c r="C98" s="8">
        <v>14.273655000000002</v>
      </c>
      <c r="D98" s="8">
        <v>42.952500000000001</v>
      </c>
      <c r="E98" s="8">
        <v>74.631101000000001</v>
      </c>
      <c r="F98" s="8">
        <v>134.82929499999997</v>
      </c>
      <c r="G98" s="8">
        <v>5001.7686049999993</v>
      </c>
    </row>
    <row r="99" spans="1:7" x14ac:dyDescent="0.2">
      <c r="A99" s="15" t="s">
        <v>284</v>
      </c>
      <c r="B99" s="16"/>
      <c r="C99" s="17">
        <f>AVERAGE(C78:C98)</f>
        <v>13.092971000000002</v>
      </c>
      <c r="D99" s="17">
        <f t="shared" ref="D99:G99" si="7">AVERAGE(D78:D98)</f>
        <v>42.519535714285716</v>
      </c>
      <c r="E99" s="17">
        <f t="shared" si="7"/>
        <v>75.19750485714286</v>
      </c>
      <c r="F99" s="17">
        <f t="shared" si="7"/>
        <v>131.50272042857139</v>
      </c>
      <c r="G99" s="17">
        <f t="shared" si="7"/>
        <v>5091.9553096666659</v>
      </c>
    </row>
    <row r="100" spans="1:7" x14ac:dyDescent="0.2">
      <c r="A100" s="12" t="s">
        <v>249</v>
      </c>
      <c r="B100" s="13" t="s">
        <v>25</v>
      </c>
      <c r="C100" s="8">
        <v>27.419415000000004</v>
      </c>
      <c r="D100" s="8">
        <v>203.82862499999999</v>
      </c>
      <c r="E100" s="8">
        <v>8.2321910000000003</v>
      </c>
      <c r="F100" s="8">
        <v>143.02579799999998</v>
      </c>
      <c r="G100" s="8">
        <v>6893.8031780000001</v>
      </c>
    </row>
    <row r="101" spans="1:7" x14ac:dyDescent="0.2">
      <c r="A101" s="6" t="s">
        <v>249</v>
      </c>
      <c r="B101" s="7" t="s">
        <v>26</v>
      </c>
      <c r="C101" s="8">
        <v>26.990352000000001</v>
      </c>
      <c r="D101" s="8">
        <v>195.70837499999999</v>
      </c>
      <c r="E101" s="8">
        <v>9.7130299999999998</v>
      </c>
      <c r="F101" s="8">
        <v>138.05487299999999</v>
      </c>
      <c r="G101" s="8">
        <v>7136.0013269999999</v>
      </c>
    </row>
    <row r="102" spans="1:7" x14ac:dyDescent="0.2">
      <c r="A102" s="6" t="s">
        <v>249</v>
      </c>
      <c r="B102" s="7" t="s">
        <v>14</v>
      </c>
      <c r="C102" s="8">
        <v>25.109778000000002</v>
      </c>
      <c r="D102" s="8">
        <v>195.607125</v>
      </c>
      <c r="E102" s="8">
        <v>12.388094000000001</v>
      </c>
      <c r="F102" s="8">
        <v>141.34672999999998</v>
      </c>
      <c r="G102" s="8">
        <v>6874.213874</v>
      </c>
    </row>
    <row r="103" spans="1:7" x14ac:dyDescent="0.2">
      <c r="A103" s="6" t="s">
        <v>249</v>
      </c>
      <c r="B103" s="7" t="s">
        <v>19</v>
      </c>
      <c r="C103" s="8">
        <v>25.319745000000001</v>
      </c>
      <c r="D103" s="8">
        <v>195.55649999999997</v>
      </c>
      <c r="E103" s="8">
        <v>10.970947000000001</v>
      </c>
      <c r="F103" s="8">
        <v>135.97813099999999</v>
      </c>
      <c r="G103" s="8">
        <v>6991.125528999999</v>
      </c>
    </row>
    <row r="104" spans="1:7" x14ac:dyDescent="0.2">
      <c r="A104" s="6" t="s">
        <v>249</v>
      </c>
      <c r="B104" s="7" t="s">
        <v>17</v>
      </c>
      <c r="C104" s="8">
        <v>26.880804000000005</v>
      </c>
      <c r="D104" s="8">
        <v>198.76612499999999</v>
      </c>
      <c r="E104" s="8">
        <v>8.582497</v>
      </c>
      <c r="F104" s="8">
        <v>135.11650399999999</v>
      </c>
      <c r="G104" s="8">
        <v>6943.5309279999992</v>
      </c>
    </row>
    <row r="105" spans="1:7" x14ac:dyDescent="0.2">
      <c r="A105" s="6" t="s">
        <v>249</v>
      </c>
      <c r="B105" s="7" t="s">
        <v>16</v>
      </c>
      <c r="C105" s="8">
        <v>29.948148</v>
      </c>
      <c r="D105" s="8">
        <v>205.54987499999999</v>
      </c>
      <c r="E105" s="8">
        <v>11.162023</v>
      </c>
      <c r="F105" s="8">
        <v>140.48510299999998</v>
      </c>
      <c r="G105" s="8">
        <v>7188.0337009999994</v>
      </c>
    </row>
    <row r="106" spans="1:7" x14ac:dyDescent="0.2">
      <c r="A106" s="6" t="s">
        <v>249</v>
      </c>
      <c r="B106" s="7" t="s">
        <v>28</v>
      </c>
      <c r="C106" s="8">
        <v>26.862546000000002</v>
      </c>
      <c r="D106" s="8">
        <v>196.34624999999997</v>
      </c>
      <c r="E106" s="8">
        <v>9.8244910000000001</v>
      </c>
      <c r="F106" s="8">
        <v>136.04441</v>
      </c>
      <c r="G106" s="8">
        <v>7052.726208</v>
      </c>
    </row>
    <row r="107" spans="1:7" x14ac:dyDescent="0.2">
      <c r="A107" s="6" t="s">
        <v>249</v>
      </c>
      <c r="B107" s="7" t="s">
        <v>20</v>
      </c>
      <c r="C107" s="8">
        <v>27.090771</v>
      </c>
      <c r="D107" s="8">
        <v>198.60412499999998</v>
      </c>
      <c r="E107" s="8">
        <v>9.219417</v>
      </c>
      <c r="F107" s="8">
        <v>139.42463899999998</v>
      </c>
      <c r="G107" s="8">
        <v>7207.8905059999997</v>
      </c>
    </row>
    <row r="108" spans="1:7" x14ac:dyDescent="0.2">
      <c r="A108" s="6" t="s">
        <v>249</v>
      </c>
      <c r="B108" s="7" t="s">
        <v>15</v>
      </c>
      <c r="C108" s="8">
        <v>30.696726000000002</v>
      </c>
      <c r="D108" s="8">
        <v>202.72499999999999</v>
      </c>
      <c r="E108" s="8">
        <v>11.607867000000001</v>
      </c>
      <c r="F108" s="8">
        <v>138.45254699999998</v>
      </c>
      <c r="G108" s="8">
        <v>7317.3464279999998</v>
      </c>
    </row>
    <row r="109" spans="1:7" x14ac:dyDescent="0.2">
      <c r="A109" s="6" t="s">
        <v>249</v>
      </c>
      <c r="B109" s="7" t="s">
        <v>27</v>
      </c>
      <c r="C109" s="8">
        <v>29.354763000000002</v>
      </c>
      <c r="D109" s="8">
        <v>206.420625</v>
      </c>
      <c r="E109" s="8">
        <v>11.607867000000001</v>
      </c>
      <c r="F109" s="8">
        <v>139.62347599999998</v>
      </c>
      <c r="G109" s="8">
        <v>7118.524594999999</v>
      </c>
    </row>
    <row r="110" spans="1:7" x14ac:dyDescent="0.2">
      <c r="A110" s="6" t="s">
        <v>249</v>
      </c>
      <c r="B110" s="7" t="s">
        <v>18</v>
      </c>
      <c r="C110" s="8">
        <v>28.597056000000002</v>
      </c>
      <c r="D110" s="8">
        <v>201.12524999999997</v>
      </c>
      <c r="E110" s="8">
        <v>9.5856459999999988</v>
      </c>
      <c r="F110" s="8">
        <v>138.18743099999998</v>
      </c>
      <c r="G110" s="8">
        <v>6993.3478449999993</v>
      </c>
    </row>
    <row r="111" spans="1:7" x14ac:dyDescent="0.2">
      <c r="A111" s="15" t="s">
        <v>284</v>
      </c>
      <c r="B111" s="16"/>
      <c r="C111" s="17">
        <f>AVERAGE(C100:C110)</f>
        <v>27.66091854545455</v>
      </c>
      <c r="D111" s="17">
        <f t="shared" ref="D111:G111" si="8">AVERAGE(D100:D110)</f>
        <v>200.02162499999997</v>
      </c>
      <c r="E111" s="17">
        <f t="shared" si="8"/>
        <v>10.263097272727272</v>
      </c>
      <c r="F111" s="17">
        <f t="shared" si="8"/>
        <v>138.70360381818182</v>
      </c>
      <c r="G111" s="17">
        <f t="shared" si="8"/>
        <v>7065.1403744545451</v>
      </c>
    </row>
    <row r="112" spans="1:7" x14ac:dyDescent="0.2">
      <c r="A112" s="6" t="s">
        <v>234</v>
      </c>
      <c r="B112" s="7" t="s">
        <v>42</v>
      </c>
      <c r="C112" s="8">
        <v>17.094516000000002</v>
      </c>
      <c r="D112" s="8">
        <v>176.30887499999997</v>
      </c>
      <c r="E112" s="8">
        <v>137.97279500000002</v>
      </c>
      <c r="F112" s="8">
        <v>109.86420499999998</v>
      </c>
      <c r="G112" s="8">
        <v>7924.964661</v>
      </c>
    </row>
    <row r="113" spans="1:7" x14ac:dyDescent="0.2">
      <c r="A113" s="6" t="s">
        <v>234</v>
      </c>
      <c r="B113" s="7" t="s">
        <v>35</v>
      </c>
      <c r="C113" s="8">
        <v>15.980778000000001</v>
      </c>
      <c r="D113" s="8">
        <v>166.50787499999998</v>
      </c>
      <c r="E113" s="8">
        <v>137.60656600000002</v>
      </c>
      <c r="F113" s="8">
        <v>108.80374099999997</v>
      </c>
      <c r="G113" s="8">
        <v>7898.6123829999997</v>
      </c>
    </row>
    <row r="114" spans="1:7" x14ac:dyDescent="0.2">
      <c r="A114" s="6" t="s">
        <v>234</v>
      </c>
      <c r="B114" s="7" t="s">
        <v>37</v>
      </c>
      <c r="C114" s="8">
        <v>17.112774000000002</v>
      </c>
      <c r="D114" s="8">
        <v>164.54362499999999</v>
      </c>
      <c r="E114" s="8">
        <v>139.071482</v>
      </c>
      <c r="F114" s="8">
        <v>109.35606599999998</v>
      </c>
      <c r="G114" s="8">
        <v>7949.8902669999989</v>
      </c>
    </row>
    <row r="115" spans="1:7" x14ac:dyDescent="0.2">
      <c r="A115" s="6" t="s">
        <v>234</v>
      </c>
      <c r="B115" s="7" t="s">
        <v>39</v>
      </c>
      <c r="C115" s="8">
        <v>17.112774000000002</v>
      </c>
      <c r="D115" s="8">
        <v>163.57162500000001</v>
      </c>
      <c r="E115" s="8">
        <v>137.43141300000002</v>
      </c>
      <c r="F115" s="8">
        <v>107.56653299999999</v>
      </c>
      <c r="G115" s="8">
        <v>7899.9979009999988</v>
      </c>
    </row>
    <row r="116" spans="1:7" x14ac:dyDescent="0.2">
      <c r="A116" s="6" t="s">
        <v>234</v>
      </c>
      <c r="B116" s="7" t="s">
        <v>44</v>
      </c>
      <c r="C116" s="8">
        <v>16.081197000000003</v>
      </c>
      <c r="D116" s="8">
        <v>174.07124999999996</v>
      </c>
      <c r="E116" s="8">
        <v>135.393269</v>
      </c>
      <c r="F116" s="8">
        <v>110.52699499999999</v>
      </c>
      <c r="G116" s="8">
        <v>8057.5216949999995</v>
      </c>
    </row>
    <row r="117" spans="1:7" x14ac:dyDescent="0.2">
      <c r="A117" s="6" t="s">
        <v>234</v>
      </c>
      <c r="B117" s="7" t="s">
        <v>46</v>
      </c>
      <c r="C117" s="8">
        <v>13.570722000000002</v>
      </c>
      <c r="D117" s="8">
        <v>178.7895</v>
      </c>
      <c r="E117" s="8">
        <v>138.768945</v>
      </c>
      <c r="F117" s="8">
        <v>113.13396899999998</v>
      </c>
      <c r="G117" s="8">
        <v>7974.5209359999999</v>
      </c>
    </row>
    <row r="118" spans="1:7" x14ac:dyDescent="0.2">
      <c r="A118" s="6" t="s">
        <v>234</v>
      </c>
      <c r="B118" s="7" t="s">
        <v>43</v>
      </c>
      <c r="C118" s="8">
        <v>14.967459000000002</v>
      </c>
      <c r="D118" s="8">
        <v>164.62462499999998</v>
      </c>
      <c r="E118" s="8">
        <v>138.41863900000001</v>
      </c>
      <c r="F118" s="8">
        <v>113.95141</v>
      </c>
      <c r="G118" s="8">
        <v>7867.3422019999998</v>
      </c>
    </row>
    <row r="119" spans="1:7" x14ac:dyDescent="0.2">
      <c r="A119" s="6" t="s">
        <v>234</v>
      </c>
      <c r="B119" s="7" t="s">
        <v>41</v>
      </c>
      <c r="C119" s="8">
        <v>16.428099</v>
      </c>
      <c r="D119" s="8">
        <v>170.79075</v>
      </c>
      <c r="E119" s="8">
        <v>133.307356</v>
      </c>
      <c r="F119" s="8">
        <v>112.84675999999999</v>
      </c>
      <c r="G119" s="8">
        <v>8069.9159079999999</v>
      </c>
    </row>
    <row r="120" spans="1:7" x14ac:dyDescent="0.2">
      <c r="A120" s="6" t="s">
        <v>234</v>
      </c>
      <c r="B120" s="7" t="s">
        <v>40</v>
      </c>
      <c r="C120" s="8">
        <v>16.418970000000002</v>
      </c>
      <c r="D120" s="8">
        <v>180.08549999999997</v>
      </c>
      <c r="E120" s="8">
        <v>132.92520400000001</v>
      </c>
      <c r="F120" s="8">
        <v>106.66071999999998</v>
      </c>
      <c r="G120" s="8">
        <v>7987.0248929999998</v>
      </c>
    </row>
    <row r="121" spans="1:7" x14ac:dyDescent="0.2">
      <c r="A121" s="6" t="s">
        <v>234</v>
      </c>
      <c r="B121" s="7" t="s">
        <v>38</v>
      </c>
      <c r="C121" s="8">
        <v>17.560095000000004</v>
      </c>
      <c r="D121" s="8">
        <v>162.77174999999997</v>
      </c>
      <c r="E121" s="8">
        <v>142.35162000000003</v>
      </c>
      <c r="F121" s="8">
        <v>108.78164799999999</v>
      </c>
      <c r="G121" s="8">
        <v>7898.2694330000004</v>
      </c>
    </row>
    <row r="122" spans="1:7" x14ac:dyDescent="0.2">
      <c r="A122" s="6" t="s">
        <v>234</v>
      </c>
      <c r="B122" s="7" t="s">
        <v>34</v>
      </c>
      <c r="C122" s="8">
        <v>17.888739000000001</v>
      </c>
      <c r="D122" s="8">
        <v>186.77812499999999</v>
      </c>
      <c r="E122" s="8">
        <v>144.42161000000002</v>
      </c>
      <c r="F122" s="8">
        <v>109.70955399999998</v>
      </c>
      <c r="G122" s="8">
        <v>8088.7370039999996</v>
      </c>
    </row>
    <row r="123" spans="1:7" x14ac:dyDescent="0.2">
      <c r="A123" s="6" t="s">
        <v>234</v>
      </c>
      <c r="B123" s="7" t="s">
        <v>45</v>
      </c>
      <c r="C123" s="8">
        <v>15.633876000000004</v>
      </c>
      <c r="D123" s="8">
        <v>172.45124999999999</v>
      </c>
      <c r="E123" s="8">
        <v>129.390298</v>
      </c>
      <c r="F123" s="8">
        <v>110.94676199999999</v>
      </c>
      <c r="G123" s="8">
        <v>7913.9422479999994</v>
      </c>
    </row>
    <row r="124" spans="1:7" x14ac:dyDescent="0.2">
      <c r="A124" s="6" t="s">
        <v>234</v>
      </c>
      <c r="B124" s="7" t="s">
        <v>33</v>
      </c>
      <c r="C124" s="8">
        <v>16.437228000000001</v>
      </c>
      <c r="D124" s="8">
        <v>165.27262499999998</v>
      </c>
      <c r="E124" s="8">
        <v>135.04296300000001</v>
      </c>
      <c r="F124" s="8">
        <v>109.06885699999999</v>
      </c>
      <c r="G124" s="8">
        <v>7854.0700369999995</v>
      </c>
    </row>
    <row r="125" spans="1:7" x14ac:dyDescent="0.2">
      <c r="A125" s="6" t="s">
        <v>234</v>
      </c>
      <c r="B125" s="7" t="s">
        <v>36</v>
      </c>
      <c r="C125" s="8">
        <v>18.016545000000001</v>
      </c>
      <c r="D125" s="8">
        <v>184.145625</v>
      </c>
      <c r="E125" s="8">
        <v>140.85485800000001</v>
      </c>
      <c r="F125" s="8">
        <v>115.14443199999999</v>
      </c>
      <c r="G125" s="8">
        <v>8023.7342610000005</v>
      </c>
    </row>
    <row r="126" spans="1:7" x14ac:dyDescent="0.2">
      <c r="A126" s="15" t="s">
        <v>284</v>
      </c>
      <c r="B126" s="16"/>
      <c r="C126" s="17">
        <f>AVERAGE(C112:C125)</f>
        <v>16.450269428571428</v>
      </c>
      <c r="D126" s="17">
        <f t="shared" ref="D126:G126" si="9">AVERAGE(D112:D125)</f>
        <v>172.19378571428572</v>
      </c>
      <c r="E126" s="17">
        <f t="shared" si="9"/>
        <v>137.35407271428571</v>
      </c>
      <c r="F126" s="17">
        <f t="shared" si="9"/>
        <v>110.45440371428572</v>
      </c>
      <c r="G126" s="17">
        <f t="shared" si="9"/>
        <v>7957.7531306428573</v>
      </c>
    </row>
    <row r="127" spans="1:7" x14ac:dyDescent="0.2">
      <c r="A127" s="6" t="s">
        <v>235</v>
      </c>
      <c r="B127" s="7" t="s">
        <v>22</v>
      </c>
      <c r="C127" s="8">
        <v>14.538396000000001</v>
      </c>
      <c r="D127" s="8">
        <v>113.97937499999998</v>
      </c>
      <c r="E127" s="8">
        <v>62.434083000000001</v>
      </c>
      <c r="F127" s="8">
        <v>120.88861199999999</v>
      </c>
      <c r="G127" s="8">
        <v>6901.1560259999997</v>
      </c>
    </row>
    <row r="128" spans="1:7" x14ac:dyDescent="0.2">
      <c r="A128" s="6" t="s">
        <v>235</v>
      </c>
      <c r="B128" s="7" t="s">
        <v>29</v>
      </c>
      <c r="C128" s="8">
        <v>15.916875000000001</v>
      </c>
      <c r="D128" s="8">
        <v>113.53387499999998</v>
      </c>
      <c r="E128" s="8">
        <v>58.325949000000008</v>
      </c>
      <c r="F128" s="8">
        <v>124.15837599999999</v>
      </c>
      <c r="G128" s="8">
        <v>6843.6913240000003</v>
      </c>
    </row>
    <row r="129" spans="1:7" x14ac:dyDescent="0.2">
      <c r="A129" s="6" t="s">
        <v>235</v>
      </c>
      <c r="B129" s="7" t="s">
        <v>32</v>
      </c>
      <c r="C129" s="8">
        <v>11.936631000000002</v>
      </c>
      <c r="D129" s="8">
        <v>115.62974999999999</v>
      </c>
      <c r="E129" s="8">
        <v>57.004339999999999</v>
      </c>
      <c r="F129" s="8">
        <v>125.59442099999998</v>
      </c>
      <c r="G129" s="8">
        <v>6945.307409</v>
      </c>
    </row>
    <row r="130" spans="1:7" x14ac:dyDescent="0.2">
      <c r="A130" s="6" t="s">
        <v>235</v>
      </c>
      <c r="B130" s="7" t="s">
        <v>30</v>
      </c>
      <c r="C130" s="8">
        <v>12.803886000000002</v>
      </c>
      <c r="D130" s="8">
        <v>106.84124999999999</v>
      </c>
      <c r="E130" s="8">
        <v>55.491655000000002</v>
      </c>
      <c r="F130" s="8">
        <v>120.91070499999999</v>
      </c>
      <c r="G130" s="8">
        <v>6687.6902279999995</v>
      </c>
    </row>
    <row r="131" spans="1:7" x14ac:dyDescent="0.2">
      <c r="A131" s="6" t="s">
        <v>235</v>
      </c>
      <c r="B131" s="7" t="s">
        <v>23</v>
      </c>
      <c r="C131" s="8">
        <v>13.315110000000002</v>
      </c>
      <c r="D131" s="8">
        <v>102.23437499999999</v>
      </c>
      <c r="E131" s="8">
        <v>55.316502000000007</v>
      </c>
      <c r="F131" s="8">
        <v>122.56767999999998</v>
      </c>
      <c r="G131" s="8">
        <v>6890.4422679999998</v>
      </c>
    </row>
    <row r="132" spans="1:7" x14ac:dyDescent="0.2">
      <c r="A132" s="6" t="s">
        <v>235</v>
      </c>
      <c r="B132" s="7" t="s">
        <v>24</v>
      </c>
      <c r="C132" s="8">
        <v>15.040490999999999</v>
      </c>
      <c r="D132" s="8">
        <v>106.41599999999998</v>
      </c>
      <c r="E132" s="8">
        <v>57.927874000000003</v>
      </c>
      <c r="F132" s="8">
        <v>118.94442799999999</v>
      </c>
      <c r="G132" s="8">
        <v>6857.7042609999999</v>
      </c>
    </row>
    <row r="133" spans="1:7" x14ac:dyDescent="0.2">
      <c r="A133" s="6" t="s">
        <v>235</v>
      </c>
      <c r="B133" s="7" t="s">
        <v>21</v>
      </c>
      <c r="C133" s="8">
        <v>14.529267000000003</v>
      </c>
      <c r="D133" s="8">
        <v>117.65474999999999</v>
      </c>
      <c r="E133" s="8">
        <v>55.810114999999996</v>
      </c>
      <c r="F133" s="8">
        <v>123.80488799999998</v>
      </c>
      <c r="G133" s="8">
        <v>6842.1206129999991</v>
      </c>
    </row>
    <row r="134" spans="1:7" x14ac:dyDescent="0.2">
      <c r="A134" s="6" t="s">
        <v>235</v>
      </c>
      <c r="B134" s="7" t="s">
        <v>31</v>
      </c>
      <c r="C134" s="8">
        <v>15.515198999999999</v>
      </c>
      <c r="D134" s="8">
        <v>112.19737499999999</v>
      </c>
      <c r="E134" s="8">
        <v>60.841783000000007</v>
      </c>
      <c r="F134" s="8">
        <v>119.91651999999998</v>
      </c>
      <c r="G134" s="8">
        <v>6854.459953999999</v>
      </c>
    </row>
    <row r="135" spans="1:7" x14ac:dyDescent="0.2">
      <c r="A135" s="15" t="s">
        <v>284</v>
      </c>
      <c r="B135" s="16"/>
      <c r="C135" s="17">
        <f>AVERAGE(C127:C134)</f>
        <v>14.199481875000002</v>
      </c>
      <c r="D135" s="17">
        <f t="shared" ref="D135:G135" si="10">AVERAGE(D127:D134)</f>
        <v>111.06084374999999</v>
      </c>
      <c r="E135" s="17">
        <f t="shared" si="10"/>
        <v>57.894037625000003</v>
      </c>
      <c r="F135" s="17">
        <f t="shared" si="10"/>
        <v>122.09820375</v>
      </c>
      <c r="G135" s="17">
        <f t="shared" si="10"/>
        <v>6852.8215103749999</v>
      </c>
    </row>
    <row r="136" spans="1:7" x14ac:dyDescent="0.2">
      <c r="A136" s="6" t="s">
        <v>233</v>
      </c>
      <c r="B136" s="7" t="s">
        <v>167</v>
      </c>
      <c r="C136" s="8">
        <v>21.531210000000002</v>
      </c>
      <c r="D136" s="8">
        <v>64.690874999999991</v>
      </c>
      <c r="E136" s="8">
        <v>17.340147000000002</v>
      </c>
      <c r="F136" s="8">
        <v>189.46528399999997</v>
      </c>
      <c r="G136" s="8">
        <v>5687.5520019999994</v>
      </c>
    </row>
    <row r="137" spans="1:7" x14ac:dyDescent="0.2">
      <c r="A137" s="6" t="s">
        <v>233</v>
      </c>
      <c r="B137" s="7" t="s">
        <v>168</v>
      </c>
      <c r="C137" s="8">
        <v>21.549468000000005</v>
      </c>
      <c r="D137" s="8">
        <v>63.445500000000003</v>
      </c>
      <c r="E137" s="8">
        <v>17.563068999999999</v>
      </c>
      <c r="F137" s="8">
        <v>187.27807699999997</v>
      </c>
      <c r="G137" s="8">
        <v>5685.082762</v>
      </c>
    </row>
    <row r="138" spans="1:7" x14ac:dyDescent="0.2">
      <c r="A138" s="6" t="s">
        <v>233</v>
      </c>
      <c r="B138" s="7" t="s">
        <v>169</v>
      </c>
      <c r="C138" s="8">
        <v>21.038244000000002</v>
      </c>
      <c r="D138" s="8">
        <v>65.480624999999989</v>
      </c>
      <c r="E138" s="8">
        <v>13.232013000000002</v>
      </c>
      <c r="F138" s="8">
        <v>188.97923799999998</v>
      </c>
      <c r="G138" s="8">
        <v>5721.3257180000001</v>
      </c>
    </row>
    <row r="139" spans="1:7" x14ac:dyDescent="0.2">
      <c r="A139" s="6" t="s">
        <v>233</v>
      </c>
      <c r="B139" s="7" t="s">
        <v>170</v>
      </c>
      <c r="C139" s="8">
        <v>20.189247000000002</v>
      </c>
      <c r="D139" s="8">
        <v>64.88324999999999</v>
      </c>
      <c r="E139" s="8">
        <v>15.206465000000001</v>
      </c>
      <c r="F139" s="8">
        <v>193.35365199999998</v>
      </c>
      <c r="G139" s="8">
        <v>5457.7274889999999</v>
      </c>
    </row>
    <row r="140" spans="1:7" x14ac:dyDescent="0.2">
      <c r="A140" s="6" t="s">
        <v>233</v>
      </c>
      <c r="B140" s="7" t="s">
        <v>163</v>
      </c>
      <c r="C140" s="8">
        <v>21.156921000000001</v>
      </c>
      <c r="D140" s="8">
        <v>63.374625000000002</v>
      </c>
      <c r="E140" s="8">
        <v>13.821164</v>
      </c>
      <c r="F140" s="8">
        <v>188.62574999999998</v>
      </c>
      <c r="G140" s="8">
        <v>5730.6470989999998</v>
      </c>
    </row>
    <row r="141" spans="1:7" x14ac:dyDescent="0.2">
      <c r="A141" s="6" t="s">
        <v>233</v>
      </c>
      <c r="B141" s="7" t="s">
        <v>164</v>
      </c>
      <c r="C141" s="8">
        <v>18.947703000000001</v>
      </c>
      <c r="D141" s="8">
        <v>62.250750000000004</v>
      </c>
      <c r="E141" s="8">
        <v>13.980393999999999</v>
      </c>
      <c r="F141" s="8">
        <v>192.44783899999999</v>
      </c>
      <c r="G141" s="8">
        <v>5776.9659259999999</v>
      </c>
    </row>
    <row r="142" spans="1:7" x14ac:dyDescent="0.2">
      <c r="A142" s="6" t="s">
        <v>233</v>
      </c>
      <c r="B142" s="7" t="s">
        <v>166</v>
      </c>
      <c r="C142" s="8">
        <v>20.837406000000001</v>
      </c>
      <c r="D142" s="8">
        <v>65.450249999999997</v>
      </c>
      <c r="E142" s="8">
        <v>13.964471</v>
      </c>
      <c r="F142" s="8">
        <v>192.33737399999998</v>
      </c>
      <c r="G142" s="8">
        <v>5606.4786219999996</v>
      </c>
    </row>
    <row r="143" spans="1:7" x14ac:dyDescent="0.2">
      <c r="A143" s="6" t="s">
        <v>233</v>
      </c>
      <c r="B143" s="7" t="s">
        <v>165</v>
      </c>
      <c r="C143" s="8">
        <v>21.321243000000003</v>
      </c>
      <c r="D143" s="8">
        <v>71.737874999999988</v>
      </c>
      <c r="E143" s="8">
        <v>12.085557</v>
      </c>
      <c r="F143" s="8">
        <v>193.77341899999996</v>
      </c>
      <c r="G143" s="8">
        <v>5730.2149819999995</v>
      </c>
    </row>
    <row r="144" spans="1:7" x14ac:dyDescent="0.2">
      <c r="A144" s="6" t="s">
        <v>233</v>
      </c>
      <c r="B144" s="7" t="s">
        <v>220</v>
      </c>
      <c r="C144" s="8">
        <v>16.957581000000001</v>
      </c>
      <c r="D144" s="8">
        <v>58.990500000000004</v>
      </c>
      <c r="E144" s="8">
        <v>13.200166999999999</v>
      </c>
      <c r="F144" s="8">
        <v>187.12342599999997</v>
      </c>
      <c r="G144" s="8">
        <v>5756.8964919999999</v>
      </c>
    </row>
    <row r="145" spans="1:7" x14ac:dyDescent="0.2">
      <c r="A145" s="6" t="s">
        <v>233</v>
      </c>
      <c r="B145" s="7" t="s">
        <v>223</v>
      </c>
      <c r="C145" s="8">
        <v>19.595862000000004</v>
      </c>
      <c r="D145" s="8">
        <v>59.385375000000003</v>
      </c>
      <c r="E145" s="8">
        <v>15.095004000000001</v>
      </c>
      <c r="F145" s="8">
        <v>194.17109299999998</v>
      </c>
      <c r="G145" s="8">
        <v>5777.6243899999999</v>
      </c>
    </row>
    <row r="146" spans="1:7" x14ac:dyDescent="0.2">
      <c r="A146" s="6" t="s">
        <v>233</v>
      </c>
      <c r="B146" s="7" t="s">
        <v>219</v>
      </c>
      <c r="C146" s="8">
        <v>20.116215000000004</v>
      </c>
      <c r="D146" s="8">
        <v>62.240625000000001</v>
      </c>
      <c r="E146" s="8">
        <v>13.582319</v>
      </c>
      <c r="F146" s="8">
        <v>189.37691199999998</v>
      </c>
      <c r="G146" s="8">
        <v>5738.0136649999995</v>
      </c>
    </row>
    <row r="147" spans="1:7" x14ac:dyDescent="0.2">
      <c r="A147" s="6" t="s">
        <v>233</v>
      </c>
      <c r="B147" s="7" t="s">
        <v>226</v>
      </c>
      <c r="C147" s="8">
        <v>20.618310000000001</v>
      </c>
      <c r="D147" s="8">
        <v>68.285249999999991</v>
      </c>
      <c r="E147" s="8">
        <v>13.232013000000002</v>
      </c>
      <c r="F147" s="8">
        <v>188.22807599999996</v>
      </c>
      <c r="G147" s="8">
        <v>5718.8976319999992</v>
      </c>
    </row>
    <row r="148" spans="1:7" x14ac:dyDescent="0.2">
      <c r="A148" s="15" t="s">
        <v>284</v>
      </c>
      <c r="B148" s="16"/>
      <c r="C148" s="17">
        <f>AVERAGE(C136:C147)</f>
        <v>20.321617500000006</v>
      </c>
      <c r="D148" s="17">
        <f t="shared" ref="D148:G148" si="11">AVERAGE(D136:D147)</f>
        <v>64.184624999999997</v>
      </c>
      <c r="E148" s="17">
        <f t="shared" si="11"/>
        <v>14.35856525</v>
      </c>
      <c r="F148" s="17">
        <f t="shared" si="11"/>
        <v>190.43001166666662</v>
      </c>
      <c r="G148" s="17">
        <f t="shared" si="11"/>
        <v>5698.9522315833319</v>
      </c>
    </row>
    <row r="149" spans="1:7" x14ac:dyDescent="0.2">
      <c r="A149" s="6" t="s">
        <v>250</v>
      </c>
      <c r="B149" s="7" t="s">
        <v>95</v>
      </c>
      <c r="C149" s="8">
        <v>31.600497000000001</v>
      </c>
      <c r="D149" s="8">
        <v>255.21299999999994</v>
      </c>
      <c r="E149" s="8">
        <v>20.556592999999999</v>
      </c>
      <c r="F149" s="8">
        <v>199.65015699999998</v>
      </c>
      <c r="G149" s="8">
        <v>8869.9565270000003</v>
      </c>
    </row>
    <row r="150" spans="1:7" x14ac:dyDescent="0.2">
      <c r="A150" s="6" t="s">
        <v>250</v>
      </c>
      <c r="B150" s="7" t="s">
        <v>97</v>
      </c>
      <c r="C150" s="8">
        <v>30.623694</v>
      </c>
      <c r="D150" s="8">
        <v>261.93600000000004</v>
      </c>
      <c r="E150" s="8">
        <v>20.938745000000001</v>
      </c>
      <c r="F150" s="8">
        <v>201.99201499999998</v>
      </c>
      <c r="G150" s="8">
        <v>8852.054537</v>
      </c>
    </row>
    <row r="151" spans="1:7" x14ac:dyDescent="0.2">
      <c r="A151" s="6" t="s">
        <v>250</v>
      </c>
      <c r="B151" s="7" t="s">
        <v>94</v>
      </c>
      <c r="C151" s="8">
        <v>30.002922000000002</v>
      </c>
      <c r="D151" s="8">
        <v>267.09974999999997</v>
      </c>
      <c r="E151" s="8">
        <v>19.043908000000002</v>
      </c>
      <c r="F151" s="8">
        <v>201.52806199999998</v>
      </c>
      <c r="G151" s="8">
        <v>8742.1664979999987</v>
      </c>
    </row>
    <row r="152" spans="1:7" x14ac:dyDescent="0.2">
      <c r="A152" s="6" t="s">
        <v>250</v>
      </c>
      <c r="B152" s="7" t="s">
        <v>128</v>
      </c>
      <c r="C152" s="8">
        <v>31.408788000000005</v>
      </c>
      <c r="D152" s="8">
        <v>271.52437500000002</v>
      </c>
      <c r="E152" s="8">
        <v>18.470680000000002</v>
      </c>
      <c r="F152" s="8">
        <v>201.63852699999998</v>
      </c>
      <c r="G152" s="8">
        <v>8920.8708839999999</v>
      </c>
    </row>
    <row r="153" spans="1:7" x14ac:dyDescent="0.2">
      <c r="A153" s="6" t="s">
        <v>250</v>
      </c>
      <c r="B153" s="7" t="s">
        <v>96</v>
      </c>
      <c r="C153" s="8">
        <v>32.458622999999996</v>
      </c>
      <c r="D153" s="8">
        <v>264.64950000000005</v>
      </c>
      <c r="E153" s="8">
        <v>18.343295999999999</v>
      </c>
      <c r="F153" s="8">
        <v>199.00945999999999</v>
      </c>
      <c r="G153" s="8">
        <v>8916.3782389999978</v>
      </c>
    </row>
    <row r="154" spans="1:7" x14ac:dyDescent="0.2">
      <c r="A154" s="6" t="s">
        <v>250</v>
      </c>
      <c r="B154" s="7" t="s">
        <v>127</v>
      </c>
      <c r="C154" s="8">
        <v>31.810464</v>
      </c>
      <c r="D154" s="8">
        <v>268.416</v>
      </c>
      <c r="E154" s="8">
        <v>19.314599000000001</v>
      </c>
      <c r="F154" s="8">
        <v>202.41178199999996</v>
      </c>
      <c r="G154" s="8">
        <v>8811.4492570000002</v>
      </c>
    </row>
    <row r="155" spans="1:7" x14ac:dyDescent="0.2">
      <c r="A155" s="6" t="s">
        <v>250</v>
      </c>
      <c r="B155" s="7" t="s">
        <v>124</v>
      </c>
      <c r="C155" s="8">
        <v>31.865238000000002</v>
      </c>
      <c r="D155" s="8">
        <v>263.07000000000005</v>
      </c>
      <c r="E155" s="8">
        <v>18.136297000000003</v>
      </c>
      <c r="F155" s="8">
        <v>195.14318499999999</v>
      </c>
      <c r="G155" s="8">
        <v>8788.7322490000006</v>
      </c>
    </row>
    <row r="156" spans="1:7" x14ac:dyDescent="0.2">
      <c r="A156" s="6" t="s">
        <v>250</v>
      </c>
      <c r="B156" s="7" t="s">
        <v>126</v>
      </c>
      <c r="C156" s="8">
        <v>30.194631000000001</v>
      </c>
      <c r="D156" s="8">
        <v>264.00149999999996</v>
      </c>
      <c r="E156" s="8">
        <v>20.349594</v>
      </c>
      <c r="F156" s="8">
        <v>197.17574099999999</v>
      </c>
      <c r="G156" s="8">
        <v>8682.0130680000002</v>
      </c>
    </row>
    <row r="157" spans="1:7" x14ac:dyDescent="0.2">
      <c r="A157" s="6" t="s">
        <v>250</v>
      </c>
      <c r="B157" s="7" t="s">
        <v>125</v>
      </c>
      <c r="C157" s="8">
        <v>32.129978999999999</v>
      </c>
      <c r="D157" s="8">
        <v>265.87462500000004</v>
      </c>
      <c r="E157" s="8">
        <v>19.537521000000002</v>
      </c>
      <c r="F157" s="8">
        <v>201.99201499999998</v>
      </c>
      <c r="G157" s="8">
        <v>8937.6617159999987</v>
      </c>
    </row>
    <row r="158" spans="1:7" x14ac:dyDescent="0.2">
      <c r="A158" s="6" t="s">
        <v>250</v>
      </c>
      <c r="B158" s="7" t="s">
        <v>118</v>
      </c>
      <c r="C158" s="8">
        <v>30.696726000000002</v>
      </c>
      <c r="D158" s="8">
        <v>266.31</v>
      </c>
      <c r="E158" s="8">
        <v>21.973740000000003</v>
      </c>
      <c r="F158" s="8">
        <v>196.82225299999996</v>
      </c>
      <c r="G158" s="8">
        <v>8770.466731999999</v>
      </c>
    </row>
    <row r="159" spans="1:7" x14ac:dyDescent="0.2">
      <c r="A159" s="6" t="s">
        <v>250</v>
      </c>
      <c r="B159" s="7" t="s">
        <v>122</v>
      </c>
      <c r="C159" s="8">
        <v>34.284422999999997</v>
      </c>
      <c r="D159" s="8">
        <v>275.10862500000002</v>
      </c>
      <c r="E159" s="8">
        <v>21.304974000000001</v>
      </c>
      <c r="F159" s="8">
        <v>212.24316699999997</v>
      </c>
      <c r="G159" s="8">
        <v>9360.2241289999984</v>
      </c>
    </row>
    <row r="160" spans="1:7" x14ac:dyDescent="0.2">
      <c r="A160" s="6" t="s">
        <v>250</v>
      </c>
      <c r="B160" s="7" t="s">
        <v>121</v>
      </c>
      <c r="C160" s="8">
        <v>29.856858000000006</v>
      </c>
      <c r="D160" s="8">
        <v>268.12237499999998</v>
      </c>
      <c r="E160" s="8">
        <v>19.171291999999998</v>
      </c>
      <c r="F160" s="8">
        <v>203.56061799999998</v>
      </c>
      <c r="G160" s="8">
        <v>8942.6756449999993</v>
      </c>
    </row>
    <row r="161" spans="1:7" x14ac:dyDescent="0.2">
      <c r="A161" s="6" t="s">
        <v>250</v>
      </c>
      <c r="B161" s="7" t="s">
        <v>120</v>
      </c>
      <c r="C161" s="8">
        <v>31.280981999999998</v>
      </c>
      <c r="D161" s="8">
        <v>269.05387500000001</v>
      </c>
      <c r="E161" s="8">
        <v>25.651952999999999</v>
      </c>
      <c r="F161" s="8">
        <v>208.59782199999998</v>
      </c>
      <c r="G161" s="8">
        <v>8778.7181089999995</v>
      </c>
    </row>
    <row r="162" spans="1:7" x14ac:dyDescent="0.2">
      <c r="A162" s="6" t="s">
        <v>250</v>
      </c>
      <c r="B162" s="7" t="s">
        <v>113</v>
      </c>
      <c r="C162" s="8">
        <v>33.271103999999994</v>
      </c>
      <c r="D162" s="8">
        <v>274.25812500000001</v>
      </c>
      <c r="E162" s="8">
        <v>21.989663</v>
      </c>
      <c r="F162" s="8">
        <v>207.27224199999998</v>
      </c>
      <c r="G162" s="8">
        <v>9100.432644999999</v>
      </c>
    </row>
    <row r="163" spans="1:7" x14ac:dyDescent="0.2">
      <c r="A163" s="6" t="s">
        <v>250</v>
      </c>
      <c r="B163" s="7" t="s">
        <v>119</v>
      </c>
      <c r="C163" s="8">
        <v>31.20795</v>
      </c>
      <c r="D163" s="8">
        <v>259.71862500000003</v>
      </c>
      <c r="E163" s="8">
        <v>20.349594</v>
      </c>
      <c r="F163" s="8">
        <v>202.50015399999998</v>
      </c>
      <c r="G163" s="8">
        <v>8781.1187590000009</v>
      </c>
    </row>
    <row r="164" spans="1:7" x14ac:dyDescent="0.2">
      <c r="A164" s="6" t="s">
        <v>250</v>
      </c>
      <c r="B164" s="7" t="s">
        <v>114</v>
      </c>
      <c r="C164" s="8">
        <v>30.404598</v>
      </c>
      <c r="D164" s="8">
        <v>268.67925000000002</v>
      </c>
      <c r="E164" s="8">
        <v>22.117047000000003</v>
      </c>
      <c r="F164" s="8">
        <v>207.95712499999999</v>
      </c>
      <c r="G164" s="8">
        <v>9287.4432799999995</v>
      </c>
    </row>
    <row r="165" spans="1:7" x14ac:dyDescent="0.2">
      <c r="A165" s="6" t="s">
        <v>250</v>
      </c>
      <c r="B165" s="7" t="s">
        <v>117</v>
      </c>
      <c r="C165" s="8">
        <v>30.915822000000002</v>
      </c>
      <c r="D165" s="8">
        <v>266.57325000000003</v>
      </c>
      <c r="E165" s="8">
        <v>19.808212000000001</v>
      </c>
      <c r="F165" s="8">
        <v>196.71178799999998</v>
      </c>
      <c r="G165" s="8">
        <v>8986.7378610000014</v>
      </c>
    </row>
    <row r="166" spans="1:7" x14ac:dyDescent="0.2">
      <c r="A166" s="6" t="s">
        <v>250</v>
      </c>
      <c r="B166" s="7" t="s">
        <v>115</v>
      </c>
      <c r="C166" s="8">
        <v>31.107531000000005</v>
      </c>
      <c r="D166" s="8">
        <v>262.12837500000001</v>
      </c>
      <c r="E166" s="8">
        <v>20.142595</v>
      </c>
      <c r="F166" s="8">
        <v>195.65132399999999</v>
      </c>
      <c r="G166" s="8">
        <v>8899.0386870000002</v>
      </c>
    </row>
    <row r="167" spans="1:7" x14ac:dyDescent="0.2">
      <c r="A167" s="6" t="s">
        <v>250</v>
      </c>
      <c r="B167" s="7" t="s">
        <v>116</v>
      </c>
      <c r="C167" s="8">
        <v>28.615313999999998</v>
      </c>
      <c r="D167" s="8">
        <v>257.835375</v>
      </c>
      <c r="E167" s="8">
        <v>18.693602000000002</v>
      </c>
      <c r="F167" s="8">
        <v>195.43039399999998</v>
      </c>
      <c r="G167" s="8">
        <v>9064.8069990000004</v>
      </c>
    </row>
    <row r="168" spans="1:7" x14ac:dyDescent="0.2">
      <c r="A168" s="6" t="s">
        <v>250</v>
      </c>
      <c r="B168" s="7" t="s">
        <v>123</v>
      </c>
      <c r="C168" s="8">
        <v>31.244465999999999</v>
      </c>
      <c r="D168" s="8">
        <v>259.49587500000001</v>
      </c>
      <c r="E168" s="8">
        <v>23.948191999999999</v>
      </c>
      <c r="F168" s="8">
        <v>201.37341099999998</v>
      </c>
      <c r="G168" s="8">
        <v>8857.4388519999993</v>
      </c>
    </row>
    <row r="169" spans="1:7" x14ac:dyDescent="0.2">
      <c r="A169" s="6" t="s">
        <v>250</v>
      </c>
      <c r="B169" s="7" t="s">
        <v>111</v>
      </c>
      <c r="C169" s="8">
        <v>30.788016000000002</v>
      </c>
      <c r="D169" s="8">
        <v>255.52687499999993</v>
      </c>
      <c r="E169" s="8">
        <v>22.562891</v>
      </c>
      <c r="F169" s="8">
        <v>200.09201699999997</v>
      </c>
      <c r="G169" s="8">
        <v>9007.8087090000008</v>
      </c>
    </row>
    <row r="170" spans="1:7" x14ac:dyDescent="0.2">
      <c r="A170" s="6" t="s">
        <v>250</v>
      </c>
      <c r="B170" s="7" t="s">
        <v>68</v>
      </c>
      <c r="C170" s="8">
        <v>29.263473000000001</v>
      </c>
      <c r="D170" s="8">
        <v>260.52862499999998</v>
      </c>
      <c r="E170" s="8">
        <v>20.763591999999999</v>
      </c>
      <c r="F170" s="8">
        <v>201.43968999999998</v>
      </c>
      <c r="G170" s="8">
        <v>8926.797059999999</v>
      </c>
    </row>
    <row r="171" spans="1:7" x14ac:dyDescent="0.2">
      <c r="A171" s="6" t="s">
        <v>250</v>
      </c>
      <c r="B171" s="7" t="s">
        <v>112</v>
      </c>
      <c r="C171" s="8">
        <v>31.764818999999999</v>
      </c>
      <c r="D171" s="8">
        <v>260.55900000000003</v>
      </c>
      <c r="E171" s="8">
        <v>21.352743</v>
      </c>
      <c r="F171" s="8">
        <v>203.09666499999997</v>
      </c>
      <c r="G171" s="8">
        <v>8693.8036889999985</v>
      </c>
    </row>
    <row r="172" spans="1:7" x14ac:dyDescent="0.2">
      <c r="A172" s="6" t="s">
        <v>250</v>
      </c>
      <c r="B172" s="7" t="s">
        <v>129</v>
      </c>
      <c r="C172" s="8">
        <v>28.085832</v>
      </c>
      <c r="D172" s="8">
        <v>259.89074999999997</v>
      </c>
      <c r="E172" s="8">
        <v>20.604361999999998</v>
      </c>
      <c r="F172" s="8">
        <v>201.24085299999996</v>
      </c>
      <c r="G172" s="8">
        <v>8788.2521190000007</v>
      </c>
    </row>
    <row r="173" spans="1:7" x14ac:dyDescent="0.2">
      <c r="A173" s="6" t="s">
        <v>250</v>
      </c>
      <c r="B173" s="7" t="s">
        <v>67</v>
      </c>
      <c r="C173" s="8">
        <v>30.240276000000001</v>
      </c>
      <c r="D173" s="8">
        <v>271.25100000000003</v>
      </c>
      <c r="E173" s="8">
        <v>22.212585000000001</v>
      </c>
      <c r="F173" s="8">
        <v>208.90712399999998</v>
      </c>
      <c r="G173" s="8">
        <v>8994.1250039999995</v>
      </c>
    </row>
    <row r="174" spans="1:7" x14ac:dyDescent="0.2">
      <c r="A174" s="6" t="s">
        <v>250</v>
      </c>
      <c r="B174" s="7" t="s">
        <v>66</v>
      </c>
      <c r="C174" s="8">
        <v>33.910133999999999</v>
      </c>
      <c r="D174" s="8">
        <v>258.59475000000003</v>
      </c>
      <c r="E174" s="8">
        <v>20.365517000000001</v>
      </c>
      <c r="F174" s="8">
        <v>204.20131499999997</v>
      </c>
      <c r="G174" s="8">
        <v>8820.6540349999996</v>
      </c>
    </row>
    <row r="175" spans="1:7" x14ac:dyDescent="0.2">
      <c r="A175" s="6" t="s">
        <v>250</v>
      </c>
      <c r="B175" s="7" t="s">
        <v>65</v>
      </c>
      <c r="C175" s="8">
        <v>30.413727000000005</v>
      </c>
      <c r="D175" s="8">
        <v>270.89662499999997</v>
      </c>
      <c r="E175" s="8">
        <v>21.018360000000001</v>
      </c>
      <c r="F175" s="8">
        <v>199.58387799999997</v>
      </c>
      <c r="G175" s="8">
        <v>8903.154086999999</v>
      </c>
    </row>
    <row r="176" spans="1:7" x14ac:dyDescent="0.2">
      <c r="A176" s="6" t="s">
        <v>250</v>
      </c>
      <c r="B176" s="7" t="s">
        <v>70</v>
      </c>
      <c r="C176" s="8">
        <v>30.112469999999998</v>
      </c>
      <c r="D176" s="8">
        <v>266.94787500000001</v>
      </c>
      <c r="E176" s="8">
        <v>26.575487000000003</v>
      </c>
      <c r="F176" s="8">
        <v>210.18851799999999</v>
      </c>
      <c r="G176" s="8">
        <v>9024.7847340000008</v>
      </c>
    </row>
    <row r="177" spans="1:7" x14ac:dyDescent="0.2">
      <c r="A177" s="6" t="s">
        <v>250</v>
      </c>
      <c r="B177" s="7" t="s">
        <v>69</v>
      </c>
      <c r="C177" s="8">
        <v>29.747310000000002</v>
      </c>
      <c r="D177" s="8">
        <v>264.99375000000003</v>
      </c>
      <c r="E177" s="8">
        <v>22.053355</v>
      </c>
      <c r="F177" s="8">
        <v>200.22457499999999</v>
      </c>
      <c r="G177" s="8">
        <v>9039.9499830000004</v>
      </c>
    </row>
    <row r="178" spans="1:7" x14ac:dyDescent="0.2">
      <c r="A178" s="6" t="s">
        <v>250</v>
      </c>
      <c r="B178" s="7" t="s">
        <v>72</v>
      </c>
      <c r="C178" s="8">
        <v>26.223516</v>
      </c>
      <c r="D178" s="8">
        <v>257.43037499999997</v>
      </c>
      <c r="E178" s="8">
        <v>27.228330000000003</v>
      </c>
      <c r="F178" s="8">
        <v>197.30829900000001</v>
      </c>
      <c r="G178" s="8">
        <v>8936.6054299999996</v>
      </c>
    </row>
    <row r="179" spans="1:7" x14ac:dyDescent="0.2">
      <c r="A179" s="6" t="s">
        <v>250</v>
      </c>
      <c r="B179" s="7" t="s">
        <v>71</v>
      </c>
      <c r="C179" s="8">
        <v>30.085083000000004</v>
      </c>
      <c r="D179" s="8">
        <v>266.34037499999999</v>
      </c>
      <c r="E179" s="8">
        <v>26.097797000000003</v>
      </c>
      <c r="F179" s="8">
        <v>204.422245</v>
      </c>
      <c r="G179" s="8">
        <v>8809.7825199999988</v>
      </c>
    </row>
    <row r="180" spans="1:7" x14ac:dyDescent="0.2">
      <c r="A180" s="15" t="s">
        <v>284</v>
      </c>
      <c r="B180" s="16"/>
      <c r="C180" s="17">
        <f>AVERAGE(C149:C179)</f>
        <v>30.826298903225805</v>
      </c>
      <c r="D180" s="17">
        <f t="shared" ref="D180:G180" si="12">AVERAGE(D149:D179)</f>
        <v>264.58156451612899</v>
      </c>
      <c r="E180" s="17">
        <f t="shared" si="12"/>
        <v>21.312165032258068</v>
      </c>
      <c r="F180" s="17">
        <f t="shared" si="12"/>
        <v>201.91504583870972</v>
      </c>
      <c r="G180" s="17">
        <f t="shared" si="12"/>
        <v>8912.7774852580642</v>
      </c>
    </row>
    <row r="181" spans="1:7" x14ac:dyDescent="0.2">
      <c r="A181" s="6" t="s">
        <v>247</v>
      </c>
      <c r="B181" s="7" t="s">
        <v>150</v>
      </c>
      <c r="C181" s="8">
        <v>17.9709</v>
      </c>
      <c r="D181" s="8">
        <v>125.64337499999999</v>
      </c>
      <c r="E181" s="8">
        <v>122.95740600000001</v>
      </c>
      <c r="F181" s="8">
        <v>167.70367899999999</v>
      </c>
      <c r="G181" s="8">
        <v>8004.0352129999992</v>
      </c>
    </row>
    <row r="182" spans="1:7" x14ac:dyDescent="0.2">
      <c r="A182" s="6" t="s">
        <v>247</v>
      </c>
      <c r="B182" s="7" t="s">
        <v>151</v>
      </c>
      <c r="C182" s="8">
        <v>15.916875000000001</v>
      </c>
      <c r="D182" s="8">
        <v>126.79762499999998</v>
      </c>
      <c r="E182" s="8">
        <v>116.842974</v>
      </c>
      <c r="F182" s="8">
        <v>164.43391499999998</v>
      </c>
      <c r="G182" s="8">
        <v>7929.4504469999993</v>
      </c>
    </row>
    <row r="183" spans="1:7" x14ac:dyDescent="0.2">
      <c r="A183" s="6" t="s">
        <v>247</v>
      </c>
      <c r="B183" s="7" t="s">
        <v>149</v>
      </c>
      <c r="C183" s="8">
        <v>17.505320999999999</v>
      </c>
      <c r="D183" s="8">
        <v>127.86075</v>
      </c>
      <c r="E183" s="8">
        <v>118.037199</v>
      </c>
      <c r="F183" s="8">
        <v>170.354839</v>
      </c>
      <c r="G183" s="8">
        <v>7879.5649400000002</v>
      </c>
    </row>
    <row r="184" spans="1:7" x14ac:dyDescent="0.2">
      <c r="A184" s="6" t="s">
        <v>247</v>
      </c>
      <c r="B184" s="7" t="s">
        <v>148</v>
      </c>
      <c r="C184" s="8">
        <v>16.282035</v>
      </c>
      <c r="D184" s="8">
        <v>124.49924999999999</v>
      </c>
      <c r="E184" s="8">
        <v>114.47044700000001</v>
      </c>
      <c r="F184" s="8">
        <v>167.88042299999998</v>
      </c>
      <c r="G184" s="8">
        <v>8039.7637439999999</v>
      </c>
    </row>
    <row r="185" spans="1:7" x14ac:dyDescent="0.2">
      <c r="A185" s="6" t="s">
        <v>247</v>
      </c>
      <c r="B185" s="7" t="s">
        <v>147</v>
      </c>
      <c r="C185" s="8">
        <v>18.290415000000003</v>
      </c>
      <c r="D185" s="8">
        <v>127.263375</v>
      </c>
      <c r="E185" s="8">
        <v>122.543408</v>
      </c>
      <c r="F185" s="8">
        <v>169.62576999999999</v>
      </c>
      <c r="G185" s="8">
        <v>8146.9013239999995</v>
      </c>
    </row>
    <row r="186" spans="1:7" x14ac:dyDescent="0.2">
      <c r="A186" s="6" t="s">
        <v>247</v>
      </c>
      <c r="B186" s="7" t="s">
        <v>144</v>
      </c>
      <c r="C186" s="8">
        <v>18.737736000000002</v>
      </c>
      <c r="D186" s="8">
        <v>123.37537499999999</v>
      </c>
      <c r="E186" s="8">
        <v>117.87796900000001</v>
      </c>
      <c r="F186" s="8">
        <v>174.48622999999998</v>
      </c>
      <c r="G186" s="8">
        <v>8015.0233309999994</v>
      </c>
    </row>
    <row r="187" spans="1:7" x14ac:dyDescent="0.2">
      <c r="A187" s="6" t="s">
        <v>247</v>
      </c>
      <c r="B187" s="7" t="s">
        <v>146</v>
      </c>
      <c r="C187" s="8">
        <v>15.013104000000002</v>
      </c>
      <c r="D187" s="8">
        <v>122.58562499999999</v>
      </c>
      <c r="E187" s="8">
        <v>118.19642900000001</v>
      </c>
      <c r="F187" s="8">
        <v>167.17344699999998</v>
      </c>
      <c r="G187" s="8">
        <v>7884.6131639999985</v>
      </c>
    </row>
    <row r="188" spans="1:7" x14ac:dyDescent="0.2">
      <c r="A188" s="6" t="s">
        <v>247</v>
      </c>
      <c r="B188" s="7" t="s">
        <v>145</v>
      </c>
      <c r="C188" s="8">
        <v>15.286974000000001</v>
      </c>
      <c r="D188" s="8">
        <v>124.41824999999997</v>
      </c>
      <c r="E188" s="8">
        <v>110.47377399999999</v>
      </c>
      <c r="F188" s="8">
        <v>169.71414199999998</v>
      </c>
      <c r="G188" s="8">
        <v>7960.8303719999994</v>
      </c>
    </row>
    <row r="189" spans="1:7" x14ac:dyDescent="0.2">
      <c r="A189" s="15" t="s">
        <v>284</v>
      </c>
      <c r="B189" s="16"/>
      <c r="C189" s="17">
        <f>AVERAGE(C181:C188)</f>
        <v>16.875419999999998</v>
      </c>
      <c r="D189" s="17">
        <f t="shared" ref="D189:G189" si="13">AVERAGE(D181:D188)</f>
        <v>125.30545312499999</v>
      </c>
      <c r="E189" s="17">
        <f t="shared" si="13"/>
        <v>117.67495074999999</v>
      </c>
      <c r="F189" s="17">
        <f t="shared" si="13"/>
        <v>168.921555625</v>
      </c>
      <c r="G189" s="17">
        <f t="shared" si="13"/>
        <v>7982.5228168749982</v>
      </c>
    </row>
    <row r="190" spans="1:7" x14ac:dyDescent="0.2">
      <c r="A190" s="6" t="s">
        <v>251</v>
      </c>
      <c r="B190" s="7" t="s">
        <v>75</v>
      </c>
      <c r="C190" s="8">
        <v>12.666951000000001</v>
      </c>
      <c r="D190" s="8">
        <v>95.663249999999991</v>
      </c>
      <c r="E190" s="8">
        <v>29.696394999999999</v>
      </c>
      <c r="F190" s="8">
        <v>133.547901</v>
      </c>
      <c r="G190" s="8">
        <v>5849.8770959999993</v>
      </c>
    </row>
    <row r="191" spans="1:7" x14ac:dyDescent="0.2">
      <c r="A191" s="6" t="s">
        <v>251</v>
      </c>
      <c r="B191" s="7" t="s">
        <v>74</v>
      </c>
      <c r="C191" s="8">
        <v>13.798947000000002</v>
      </c>
      <c r="D191" s="8">
        <v>92.139749999999992</v>
      </c>
      <c r="E191" s="8">
        <v>28.772861000000002</v>
      </c>
      <c r="F191" s="8">
        <v>126.23511799999999</v>
      </c>
      <c r="G191" s="8">
        <v>5664.2245430000003</v>
      </c>
    </row>
    <row r="192" spans="1:7" x14ac:dyDescent="0.2">
      <c r="A192" s="6" t="s">
        <v>251</v>
      </c>
      <c r="B192" s="7" t="s">
        <v>76</v>
      </c>
      <c r="C192" s="8">
        <v>13.150788000000002</v>
      </c>
      <c r="D192" s="8">
        <v>92.301749999999984</v>
      </c>
      <c r="E192" s="8">
        <v>28.390708999999998</v>
      </c>
      <c r="F192" s="8">
        <v>131.40487999999999</v>
      </c>
      <c r="G192" s="8">
        <v>5765.2919079999992</v>
      </c>
    </row>
    <row r="193" spans="1:7" x14ac:dyDescent="0.2">
      <c r="A193" s="6" t="s">
        <v>251</v>
      </c>
      <c r="B193" s="7" t="s">
        <v>130</v>
      </c>
      <c r="C193" s="8">
        <v>14.081946</v>
      </c>
      <c r="D193" s="8">
        <v>92.787749999999988</v>
      </c>
      <c r="E193" s="8">
        <v>29.282397000000003</v>
      </c>
      <c r="F193" s="8">
        <v>128.68744099999998</v>
      </c>
      <c r="G193" s="8">
        <v>5734.4949980000001</v>
      </c>
    </row>
    <row r="194" spans="1:7" x14ac:dyDescent="0.2">
      <c r="A194" s="6" t="s">
        <v>251</v>
      </c>
      <c r="B194" s="7" t="s">
        <v>73</v>
      </c>
      <c r="C194" s="8">
        <v>11.918373000000001</v>
      </c>
      <c r="D194" s="8">
        <v>92.058749999999989</v>
      </c>
      <c r="E194" s="8">
        <v>27.801558000000004</v>
      </c>
      <c r="F194" s="8">
        <v>126.01418799999998</v>
      </c>
      <c r="G194" s="8">
        <v>5715.2349260000001</v>
      </c>
    </row>
    <row r="195" spans="1:7" x14ac:dyDescent="0.2">
      <c r="A195" s="6" t="s">
        <v>251</v>
      </c>
      <c r="B195" s="7" t="s">
        <v>82</v>
      </c>
      <c r="C195" s="8">
        <v>11.379762000000001</v>
      </c>
      <c r="D195" s="8">
        <v>88.788374999999988</v>
      </c>
      <c r="E195" s="8">
        <v>26.193335000000001</v>
      </c>
      <c r="F195" s="8">
        <v>132.88511099999999</v>
      </c>
      <c r="G195" s="8">
        <v>5721.0582169999998</v>
      </c>
    </row>
    <row r="196" spans="1:7" x14ac:dyDescent="0.2">
      <c r="A196" s="6" t="s">
        <v>251</v>
      </c>
      <c r="B196" s="7" t="s">
        <v>77</v>
      </c>
      <c r="C196" s="8">
        <v>8.9970930000000013</v>
      </c>
      <c r="D196" s="8">
        <v>88.707374999999985</v>
      </c>
      <c r="E196" s="8">
        <v>26.814332</v>
      </c>
      <c r="F196" s="8">
        <v>122.92116799999998</v>
      </c>
      <c r="G196" s="8">
        <v>5701.5443619999996</v>
      </c>
    </row>
    <row r="197" spans="1:7" x14ac:dyDescent="0.2">
      <c r="A197" s="6" t="s">
        <v>251</v>
      </c>
      <c r="B197" s="7" t="s">
        <v>81</v>
      </c>
      <c r="C197" s="8">
        <v>12.858660000000002</v>
      </c>
      <c r="D197" s="8">
        <v>97.65787499999999</v>
      </c>
      <c r="E197" s="8">
        <v>27.642327999999999</v>
      </c>
      <c r="F197" s="8">
        <v>133.37115699999998</v>
      </c>
      <c r="G197" s="8">
        <v>5789.5590499999998</v>
      </c>
    </row>
    <row r="198" spans="1:7" x14ac:dyDescent="0.2">
      <c r="A198" s="6" t="s">
        <v>251</v>
      </c>
      <c r="B198" s="7" t="s">
        <v>83</v>
      </c>
      <c r="C198" s="8">
        <v>11.507568000000001</v>
      </c>
      <c r="D198" s="8">
        <v>89.4465</v>
      </c>
      <c r="E198" s="8">
        <v>29.521242000000001</v>
      </c>
      <c r="F198" s="8">
        <v>129.328138</v>
      </c>
      <c r="G198" s="8">
        <v>5955.4645419999997</v>
      </c>
    </row>
    <row r="199" spans="1:7" x14ac:dyDescent="0.2">
      <c r="A199" s="6" t="s">
        <v>251</v>
      </c>
      <c r="B199" s="7" t="s">
        <v>78</v>
      </c>
      <c r="C199" s="8">
        <v>9.563091</v>
      </c>
      <c r="D199" s="8">
        <v>93.26362499999999</v>
      </c>
      <c r="E199" s="8">
        <v>29.059475000000003</v>
      </c>
      <c r="F199" s="8">
        <v>130.10139299999997</v>
      </c>
      <c r="G199" s="8">
        <v>5773.2552069999992</v>
      </c>
    </row>
    <row r="200" spans="1:7" x14ac:dyDescent="0.2">
      <c r="A200" s="6" t="s">
        <v>251</v>
      </c>
      <c r="B200" s="7" t="s">
        <v>79</v>
      </c>
      <c r="C200" s="8">
        <v>12.986466</v>
      </c>
      <c r="D200" s="8">
        <v>91.005749999999992</v>
      </c>
      <c r="E200" s="8">
        <v>27.451251999999997</v>
      </c>
      <c r="F200" s="8">
        <v>133.06185499999998</v>
      </c>
      <c r="G200" s="8">
        <v>5911.0319399999998</v>
      </c>
    </row>
    <row r="201" spans="1:7" x14ac:dyDescent="0.2">
      <c r="A201" s="6" t="s">
        <v>251</v>
      </c>
      <c r="B201" s="7" t="s">
        <v>80</v>
      </c>
      <c r="C201" s="8">
        <v>13.525077000000001</v>
      </c>
      <c r="D201" s="8">
        <v>100.81687499999998</v>
      </c>
      <c r="E201" s="8">
        <v>28.470323999999998</v>
      </c>
      <c r="F201" s="8">
        <v>130.74208999999999</v>
      </c>
      <c r="G201" s="8">
        <v>5905.4830089999996</v>
      </c>
    </row>
    <row r="202" spans="1:7" x14ac:dyDescent="0.2">
      <c r="A202" s="6" t="s">
        <v>251</v>
      </c>
      <c r="B202" s="7" t="s">
        <v>88</v>
      </c>
      <c r="C202" s="8">
        <v>11.690148000000001</v>
      </c>
      <c r="D202" s="8">
        <v>91.653749999999988</v>
      </c>
      <c r="E202" s="8">
        <v>28.104094999999997</v>
      </c>
      <c r="F202" s="8">
        <v>127.80372099999998</v>
      </c>
      <c r="G202" s="8">
        <v>5624.147406</v>
      </c>
    </row>
    <row r="203" spans="1:7" x14ac:dyDescent="0.2">
      <c r="A203" s="6" t="s">
        <v>251</v>
      </c>
      <c r="B203" s="7" t="s">
        <v>84</v>
      </c>
      <c r="C203" s="8">
        <v>11.142408000000001</v>
      </c>
      <c r="D203" s="8">
        <v>92.635874999999984</v>
      </c>
      <c r="E203" s="8">
        <v>28.788784</v>
      </c>
      <c r="F203" s="8">
        <v>131.27232199999997</v>
      </c>
      <c r="G203" s="8">
        <v>5618.9551430000001</v>
      </c>
    </row>
    <row r="204" spans="1:7" x14ac:dyDescent="0.2">
      <c r="A204" s="6" t="s">
        <v>251</v>
      </c>
      <c r="B204" s="7" t="s">
        <v>86</v>
      </c>
      <c r="C204" s="8">
        <v>11.352375000000002</v>
      </c>
      <c r="D204" s="8">
        <v>87.53287499999999</v>
      </c>
      <c r="E204" s="8">
        <v>28.772861000000002</v>
      </c>
      <c r="F204" s="8">
        <v>132.90720399999998</v>
      </c>
      <c r="G204" s="8">
        <v>5712.3198510000002</v>
      </c>
    </row>
    <row r="205" spans="1:7" x14ac:dyDescent="0.2">
      <c r="A205" s="6" t="s">
        <v>251</v>
      </c>
      <c r="B205" s="7" t="s">
        <v>85</v>
      </c>
      <c r="C205" s="8">
        <v>11.635374000000002</v>
      </c>
      <c r="D205" s="8">
        <v>93.86099999999999</v>
      </c>
      <c r="E205" s="8">
        <v>28.406632000000002</v>
      </c>
      <c r="F205" s="8">
        <v>134.93975999999998</v>
      </c>
      <c r="G205" s="8">
        <v>5610.9163950000002</v>
      </c>
    </row>
    <row r="206" spans="1:7" x14ac:dyDescent="0.2">
      <c r="A206" s="6" t="s">
        <v>251</v>
      </c>
      <c r="B206" s="7" t="s">
        <v>87</v>
      </c>
      <c r="C206" s="8">
        <v>13.442916</v>
      </c>
      <c r="D206" s="8">
        <v>89.051624999999987</v>
      </c>
      <c r="E206" s="8">
        <v>28.549939000000002</v>
      </c>
      <c r="F206" s="8">
        <v>136.95022299999999</v>
      </c>
      <c r="G206" s="8">
        <v>5683.134806</v>
      </c>
    </row>
    <row r="207" spans="1:7" x14ac:dyDescent="0.2">
      <c r="A207" s="6" t="s">
        <v>251</v>
      </c>
      <c r="B207" s="7" t="s">
        <v>105</v>
      </c>
      <c r="C207" s="8">
        <v>11.964018000000001</v>
      </c>
      <c r="D207" s="8">
        <v>95.136749999999978</v>
      </c>
      <c r="E207" s="8">
        <v>30.986158000000003</v>
      </c>
      <c r="F207" s="8">
        <v>133.43743599999999</v>
      </c>
      <c r="G207" s="8">
        <v>5883.0677969999997</v>
      </c>
    </row>
    <row r="208" spans="1:7" x14ac:dyDescent="0.2">
      <c r="A208" s="6" t="s">
        <v>251</v>
      </c>
      <c r="B208" s="7" t="s">
        <v>104</v>
      </c>
      <c r="C208" s="8">
        <v>9.4444140000000019</v>
      </c>
      <c r="D208" s="8">
        <v>92.382749999999987</v>
      </c>
      <c r="E208" s="8">
        <v>26.893947000000001</v>
      </c>
      <c r="F208" s="8">
        <v>122.65605199999999</v>
      </c>
      <c r="G208" s="8">
        <v>5628.1462029999993</v>
      </c>
    </row>
    <row r="209" spans="1:7" x14ac:dyDescent="0.2">
      <c r="A209" s="6" t="s">
        <v>251</v>
      </c>
      <c r="B209" s="7" t="s">
        <v>91</v>
      </c>
      <c r="C209" s="8">
        <v>13.470303000000001</v>
      </c>
      <c r="D209" s="8">
        <v>95.521499999999989</v>
      </c>
      <c r="E209" s="8">
        <v>27.658251000000003</v>
      </c>
      <c r="F209" s="8">
        <v>134.60836499999996</v>
      </c>
      <c r="G209" s="8">
        <v>5796.4317680000004</v>
      </c>
    </row>
    <row r="210" spans="1:7" x14ac:dyDescent="0.2">
      <c r="A210" s="6" t="s">
        <v>251</v>
      </c>
      <c r="B210" s="7" t="s">
        <v>110</v>
      </c>
      <c r="C210" s="8">
        <v>14.255397000000002</v>
      </c>
      <c r="D210" s="8">
        <v>96.716249999999988</v>
      </c>
      <c r="E210" s="8">
        <v>29.377935000000001</v>
      </c>
      <c r="F210" s="8">
        <v>129.63744</v>
      </c>
      <c r="G210" s="8">
        <v>5987.9693429999998</v>
      </c>
    </row>
    <row r="211" spans="1:7" x14ac:dyDescent="0.2">
      <c r="A211" s="6" t="s">
        <v>251</v>
      </c>
      <c r="B211" s="7" t="s">
        <v>108</v>
      </c>
      <c r="C211" s="8">
        <v>12.657822000000001</v>
      </c>
      <c r="D211" s="8">
        <v>95.693624999999997</v>
      </c>
      <c r="E211" s="8">
        <v>28.629554000000002</v>
      </c>
      <c r="F211" s="8">
        <v>135.337434</v>
      </c>
      <c r="G211" s="8">
        <v>5932.5691999999999</v>
      </c>
    </row>
    <row r="212" spans="1:7" x14ac:dyDescent="0.2">
      <c r="A212" s="6" t="s">
        <v>251</v>
      </c>
      <c r="B212" s="7" t="s">
        <v>89</v>
      </c>
      <c r="C212" s="8">
        <v>14.894427</v>
      </c>
      <c r="D212" s="8">
        <v>95.72399999999999</v>
      </c>
      <c r="E212" s="8">
        <v>29.170936000000001</v>
      </c>
      <c r="F212" s="8">
        <v>124.90953799999998</v>
      </c>
      <c r="G212" s="8">
        <v>5765.6417169999995</v>
      </c>
    </row>
    <row r="213" spans="1:7" x14ac:dyDescent="0.2">
      <c r="A213" s="6" t="s">
        <v>251</v>
      </c>
      <c r="B213" s="7" t="s">
        <v>90</v>
      </c>
      <c r="C213" s="8">
        <v>11.854470000000003</v>
      </c>
      <c r="D213" s="8">
        <v>98.427374999999984</v>
      </c>
      <c r="E213" s="8">
        <v>28.709169000000003</v>
      </c>
      <c r="F213" s="8">
        <v>129.328138</v>
      </c>
      <c r="G213" s="8">
        <v>5803.1261519999998</v>
      </c>
    </row>
    <row r="214" spans="1:7" x14ac:dyDescent="0.2">
      <c r="A214" s="6" t="s">
        <v>251</v>
      </c>
      <c r="B214" s="7" t="s">
        <v>90</v>
      </c>
      <c r="C214" s="8">
        <v>12.694338000000002</v>
      </c>
      <c r="D214" s="8">
        <v>96.614999999999995</v>
      </c>
      <c r="E214" s="8">
        <v>29.059475000000003</v>
      </c>
      <c r="F214" s="8">
        <v>136.596735</v>
      </c>
      <c r="G214" s="8">
        <v>5866.8256849999998</v>
      </c>
    </row>
    <row r="215" spans="1:7" x14ac:dyDescent="0.2">
      <c r="A215" s="6" t="s">
        <v>251</v>
      </c>
      <c r="B215" s="7" t="s">
        <v>93</v>
      </c>
      <c r="C215" s="8">
        <v>12.502629000000001</v>
      </c>
      <c r="D215" s="8">
        <v>93.638249999999999</v>
      </c>
      <c r="E215" s="8">
        <v>28.900244999999998</v>
      </c>
      <c r="F215" s="8">
        <v>131.22813599999998</v>
      </c>
      <c r="G215" s="8">
        <v>5828.326118</v>
      </c>
    </row>
    <row r="216" spans="1:7" s="2" customFormat="1" x14ac:dyDescent="0.2">
      <c r="A216" s="6" t="s">
        <v>251</v>
      </c>
      <c r="B216" s="7" t="s">
        <v>92</v>
      </c>
      <c r="C216" s="8">
        <v>11.872728000000002</v>
      </c>
      <c r="D216" s="8">
        <v>92.980124999999987</v>
      </c>
      <c r="E216" s="8">
        <v>27.467175000000001</v>
      </c>
      <c r="F216" s="8">
        <v>129.129301</v>
      </c>
      <c r="G216" s="8">
        <v>5926.2314839999999</v>
      </c>
    </row>
    <row r="217" spans="1:7" x14ac:dyDescent="0.2">
      <c r="A217" s="6" t="s">
        <v>251</v>
      </c>
      <c r="B217" s="7" t="s">
        <v>107</v>
      </c>
      <c r="C217" s="8">
        <v>13.077756000000003</v>
      </c>
      <c r="D217" s="8">
        <v>91.835999999999999</v>
      </c>
      <c r="E217" s="8">
        <v>29.823779000000002</v>
      </c>
      <c r="F217" s="8">
        <v>129.283952</v>
      </c>
      <c r="G217" s="8">
        <v>5943.3789839999999</v>
      </c>
    </row>
    <row r="218" spans="1:7" x14ac:dyDescent="0.2">
      <c r="A218" s="6" t="s">
        <v>251</v>
      </c>
      <c r="B218" s="7" t="s">
        <v>109</v>
      </c>
      <c r="C218" s="8">
        <v>13.169046000000002</v>
      </c>
      <c r="D218" s="8">
        <v>92.868749999999991</v>
      </c>
      <c r="E218" s="8">
        <v>29.409780999999999</v>
      </c>
      <c r="F218" s="8">
        <v>132.531623</v>
      </c>
      <c r="G218" s="8">
        <v>5919.9280629999994</v>
      </c>
    </row>
    <row r="219" spans="1:7" x14ac:dyDescent="0.2">
      <c r="A219" s="6" t="s">
        <v>251</v>
      </c>
      <c r="B219" s="7" t="s">
        <v>106</v>
      </c>
      <c r="C219" s="8">
        <v>11.909244000000001</v>
      </c>
      <c r="D219" s="8">
        <v>97.171874999999986</v>
      </c>
      <c r="E219" s="8">
        <v>27.817481000000001</v>
      </c>
      <c r="F219" s="8">
        <v>131.868833</v>
      </c>
      <c r="G219" s="8">
        <v>5865.9271559999997</v>
      </c>
    </row>
    <row r="220" spans="1:7" x14ac:dyDescent="0.2">
      <c r="A220" s="6" t="s">
        <v>251</v>
      </c>
      <c r="B220" s="7" t="s">
        <v>102</v>
      </c>
      <c r="C220" s="8">
        <v>11.936631000000002</v>
      </c>
      <c r="D220" s="8">
        <v>91.92712499999999</v>
      </c>
      <c r="E220" s="8">
        <v>25.986336000000001</v>
      </c>
      <c r="F220" s="8">
        <v>130.94092699999999</v>
      </c>
      <c r="G220" s="8">
        <v>5744.7560619999995</v>
      </c>
    </row>
    <row r="221" spans="1:7" x14ac:dyDescent="0.2">
      <c r="A221" s="6" t="s">
        <v>251</v>
      </c>
      <c r="B221" s="7" t="s">
        <v>103</v>
      </c>
      <c r="C221" s="8">
        <v>13.105143000000002</v>
      </c>
      <c r="D221" s="8">
        <v>95.61262499999998</v>
      </c>
      <c r="E221" s="8">
        <v>30.619929000000003</v>
      </c>
      <c r="F221" s="8">
        <v>138.38626799999997</v>
      </c>
      <c r="G221" s="8">
        <v>6024.3631969999997</v>
      </c>
    </row>
    <row r="222" spans="1:7" x14ac:dyDescent="0.2">
      <c r="A222" s="6" t="s">
        <v>251</v>
      </c>
      <c r="B222" s="7" t="s">
        <v>101</v>
      </c>
      <c r="C222" s="8">
        <v>12.511758</v>
      </c>
      <c r="D222" s="8">
        <v>93.99262499999999</v>
      </c>
      <c r="E222" s="8">
        <v>28.6614</v>
      </c>
      <c r="F222" s="8">
        <v>130.71999699999998</v>
      </c>
      <c r="G222" s="8">
        <v>5815.6232499999996</v>
      </c>
    </row>
    <row r="223" spans="1:7" x14ac:dyDescent="0.2">
      <c r="A223" s="6" t="s">
        <v>251</v>
      </c>
      <c r="B223" s="7" t="s">
        <v>98</v>
      </c>
      <c r="C223" s="8">
        <v>13.397271000000002</v>
      </c>
      <c r="D223" s="8">
        <v>93.628124999999983</v>
      </c>
      <c r="E223" s="8">
        <v>27.769712000000002</v>
      </c>
      <c r="F223" s="8">
        <v>129.94674199999997</v>
      </c>
      <c r="G223" s="8">
        <v>5876.3871309999995</v>
      </c>
    </row>
    <row r="224" spans="1:7" x14ac:dyDescent="0.2">
      <c r="A224" s="6" t="s">
        <v>251</v>
      </c>
      <c r="B224" s="7" t="s">
        <v>99</v>
      </c>
      <c r="C224" s="8">
        <v>12.968208000000001</v>
      </c>
      <c r="D224" s="8">
        <v>94.215374999999995</v>
      </c>
      <c r="E224" s="8">
        <v>29.871548000000004</v>
      </c>
      <c r="F224" s="8">
        <v>129.54906799999998</v>
      </c>
      <c r="G224" s="8">
        <v>5854.5069209999992</v>
      </c>
    </row>
    <row r="225" spans="1:7" x14ac:dyDescent="0.2">
      <c r="A225" s="6" t="s">
        <v>251</v>
      </c>
      <c r="B225" s="7" t="s">
        <v>100</v>
      </c>
      <c r="C225" s="8">
        <v>13.315110000000002</v>
      </c>
      <c r="D225" s="8">
        <v>95.116499999999988</v>
      </c>
      <c r="E225" s="8">
        <v>26.495872000000002</v>
      </c>
      <c r="F225" s="8">
        <v>136.83975799999999</v>
      </c>
      <c r="G225" s="8">
        <v>5817.3722950000001</v>
      </c>
    </row>
    <row r="226" spans="1:7" x14ac:dyDescent="0.2">
      <c r="A226" s="15" t="s">
        <v>284</v>
      </c>
      <c r="B226" s="16"/>
      <c r="C226" s="17">
        <f>AVERAGE(C190:C225)</f>
        <v>12.408296</v>
      </c>
      <c r="D226" s="17">
        <f t="shared" ref="D226:G226" si="14">AVERAGE(D190:D225)</f>
        <v>93.571593749999977</v>
      </c>
      <c r="E226" s="17">
        <f t="shared" si="14"/>
        <v>28.472977833333331</v>
      </c>
      <c r="F226" s="17">
        <f t="shared" si="14"/>
        <v>131.08637258333334</v>
      </c>
      <c r="G226" s="17">
        <f t="shared" si="14"/>
        <v>5806.0158868055551</v>
      </c>
    </row>
    <row r="227" spans="1:7" x14ac:dyDescent="0.2">
      <c r="A227" s="6" t="s">
        <v>252</v>
      </c>
      <c r="B227" s="7" t="s">
        <v>0</v>
      </c>
      <c r="C227" s="8">
        <v>12.557403000000001</v>
      </c>
      <c r="D227" s="8">
        <v>75.413249999999991</v>
      </c>
      <c r="E227" s="8">
        <v>24.425882000000001</v>
      </c>
      <c r="F227" s="8">
        <v>135.91185199999998</v>
      </c>
      <c r="G227" s="8">
        <v>5213.3070239999997</v>
      </c>
    </row>
    <row r="228" spans="1:7" x14ac:dyDescent="0.2">
      <c r="A228" s="6" t="s">
        <v>252</v>
      </c>
      <c r="B228" s="7" t="s">
        <v>0</v>
      </c>
      <c r="C228" s="8">
        <v>8.8966740000000009</v>
      </c>
      <c r="D228" s="8">
        <v>70.046999999999983</v>
      </c>
      <c r="E228" s="8">
        <v>26.59141</v>
      </c>
      <c r="F228" s="8">
        <v>130.89674099999999</v>
      </c>
      <c r="G228" s="8">
        <v>5206.7155249999996</v>
      </c>
    </row>
    <row r="229" spans="1:7" x14ac:dyDescent="0.2">
      <c r="A229" s="6" t="s">
        <v>252</v>
      </c>
      <c r="B229" s="7" t="s">
        <v>12</v>
      </c>
      <c r="C229" s="8">
        <v>13.461174</v>
      </c>
      <c r="D229" s="8">
        <v>74.967749999999981</v>
      </c>
      <c r="E229" s="8">
        <v>24.298498000000002</v>
      </c>
      <c r="F229" s="8">
        <v>134.32115599999997</v>
      </c>
      <c r="G229" s="8">
        <v>5431.4232239999992</v>
      </c>
    </row>
    <row r="230" spans="1:7" x14ac:dyDescent="0.2">
      <c r="A230" s="6" t="s">
        <v>252</v>
      </c>
      <c r="B230" s="7" t="s">
        <v>9</v>
      </c>
      <c r="C230" s="8">
        <v>12.566532000000002</v>
      </c>
      <c r="D230" s="8">
        <v>77.053499999999985</v>
      </c>
      <c r="E230" s="8">
        <v>25.699722000000001</v>
      </c>
      <c r="F230" s="8">
        <v>137.94440799999998</v>
      </c>
      <c r="G230" s="8">
        <v>5385.5365139999994</v>
      </c>
    </row>
    <row r="231" spans="1:7" x14ac:dyDescent="0.2">
      <c r="A231" s="6" t="s">
        <v>252</v>
      </c>
      <c r="B231" s="7" t="s">
        <v>13</v>
      </c>
      <c r="C231" s="8">
        <v>13.004724000000001</v>
      </c>
      <c r="D231" s="8">
        <v>75.615749999999977</v>
      </c>
      <c r="E231" s="8">
        <v>21.703049000000004</v>
      </c>
      <c r="F231" s="8">
        <v>138.76184899999998</v>
      </c>
      <c r="G231" s="8">
        <v>5300.1213870000001</v>
      </c>
    </row>
    <row r="232" spans="1:7" x14ac:dyDescent="0.2">
      <c r="A232" s="6" t="s">
        <v>252</v>
      </c>
      <c r="B232" s="7" t="s">
        <v>10</v>
      </c>
      <c r="C232" s="8">
        <v>11.854470000000003</v>
      </c>
      <c r="D232" s="8">
        <v>73.064249999999987</v>
      </c>
      <c r="E232" s="8">
        <v>25.126494000000001</v>
      </c>
      <c r="F232" s="8">
        <v>136.28743299999999</v>
      </c>
      <c r="G232" s="8">
        <v>5497.4616759999999</v>
      </c>
    </row>
    <row r="233" spans="1:7" x14ac:dyDescent="0.2">
      <c r="A233" s="6" t="s">
        <v>252</v>
      </c>
      <c r="B233" s="7" t="s">
        <v>11</v>
      </c>
      <c r="C233" s="8">
        <v>11.5806</v>
      </c>
      <c r="D233" s="8">
        <v>70.593749999999986</v>
      </c>
      <c r="E233" s="8">
        <v>24.776188000000001</v>
      </c>
      <c r="F233" s="8">
        <v>133.12813399999999</v>
      </c>
      <c r="G233" s="8">
        <v>5318.8327389999995</v>
      </c>
    </row>
    <row r="234" spans="1:7" x14ac:dyDescent="0.2">
      <c r="A234" s="15" t="s">
        <v>284</v>
      </c>
      <c r="B234" s="16"/>
      <c r="C234" s="17">
        <f>AVERAGE(C227:C233)</f>
        <v>11.988796714285716</v>
      </c>
      <c r="D234" s="17">
        <f t="shared" ref="D234:F234" si="15">AVERAGE(D227:D233)</f>
        <v>73.822178571428566</v>
      </c>
      <c r="E234" s="17">
        <f t="shared" si="15"/>
        <v>24.660177571428569</v>
      </c>
      <c r="F234" s="17">
        <f t="shared" si="15"/>
        <v>135.32165328571426</v>
      </c>
      <c r="G234" s="17">
        <f>AVERAGE(G227:G233)</f>
        <v>5336.1997269999993</v>
      </c>
    </row>
    <row r="235" spans="1:7" x14ac:dyDescent="0.2">
      <c r="A235" s="6" t="s">
        <v>248</v>
      </c>
      <c r="B235" s="7" t="s">
        <v>64</v>
      </c>
      <c r="C235" s="8">
        <v>10.996344000000001</v>
      </c>
      <c r="D235" s="8">
        <v>84.191625000000002</v>
      </c>
      <c r="E235" s="8">
        <v>20.110749000000002</v>
      </c>
      <c r="F235" s="8">
        <v>146.56067799999997</v>
      </c>
      <c r="G235" s="8">
        <v>8345.9152089999989</v>
      </c>
    </row>
    <row r="236" spans="1:7" x14ac:dyDescent="0.2">
      <c r="A236" s="6" t="s">
        <v>248</v>
      </c>
      <c r="B236" s="7" t="s">
        <v>63</v>
      </c>
      <c r="C236" s="8">
        <v>10.421217000000002</v>
      </c>
      <c r="D236" s="8">
        <v>88.747874999999993</v>
      </c>
      <c r="E236" s="8">
        <v>15.222388</v>
      </c>
      <c r="F236" s="8">
        <v>150.228116</v>
      </c>
      <c r="G236" s="8">
        <v>8230.6977269999988</v>
      </c>
    </row>
    <row r="237" spans="1:7" x14ac:dyDescent="0.2">
      <c r="A237" s="6" t="s">
        <v>248</v>
      </c>
      <c r="B237" s="7" t="s">
        <v>62</v>
      </c>
      <c r="C237" s="8">
        <v>12.082695000000003</v>
      </c>
      <c r="D237" s="8">
        <v>84.211874999999992</v>
      </c>
      <c r="E237" s="8">
        <v>19.792289</v>
      </c>
      <c r="F237" s="8">
        <v>144.13044799999997</v>
      </c>
      <c r="G237" s="8">
        <v>8310.0083439999999</v>
      </c>
    </row>
    <row r="238" spans="1:7" x14ac:dyDescent="0.2">
      <c r="A238" s="6" t="s">
        <v>248</v>
      </c>
      <c r="B238" s="7" t="s">
        <v>61</v>
      </c>
      <c r="C238" s="8">
        <v>10.202121000000002</v>
      </c>
      <c r="D238" s="8">
        <v>84.971249999999998</v>
      </c>
      <c r="E238" s="8">
        <v>15.524925</v>
      </c>
      <c r="F238" s="8">
        <v>149.34439599999999</v>
      </c>
      <c r="G238" s="8">
        <v>8195.7511219999997</v>
      </c>
    </row>
    <row r="239" spans="1:7" x14ac:dyDescent="0.2">
      <c r="A239" s="6" t="s">
        <v>248</v>
      </c>
      <c r="B239" s="7" t="s">
        <v>60</v>
      </c>
      <c r="C239" s="8">
        <v>10.740732000000001</v>
      </c>
      <c r="D239" s="8">
        <v>90.165374999999983</v>
      </c>
      <c r="E239" s="8">
        <v>17.149070999999999</v>
      </c>
      <c r="F239" s="8">
        <v>150.581604</v>
      </c>
      <c r="G239" s="8">
        <v>8468.7324630000003</v>
      </c>
    </row>
    <row r="240" spans="1:7" x14ac:dyDescent="0.2">
      <c r="A240" s="6" t="s">
        <v>248</v>
      </c>
      <c r="B240" s="7" t="s">
        <v>59</v>
      </c>
      <c r="C240" s="8">
        <v>9.0062220000000011</v>
      </c>
      <c r="D240" s="8">
        <v>82.774124999999998</v>
      </c>
      <c r="E240" s="8">
        <v>16.957995</v>
      </c>
      <c r="F240" s="8">
        <v>150.581604</v>
      </c>
      <c r="G240" s="8">
        <v>8165.1942769999996</v>
      </c>
    </row>
    <row r="241" spans="1:7" x14ac:dyDescent="0.2">
      <c r="A241" s="6" t="s">
        <v>248</v>
      </c>
      <c r="B241" s="7" t="s">
        <v>58</v>
      </c>
      <c r="C241" s="8">
        <v>8.4219660000000012</v>
      </c>
      <c r="D241" s="8">
        <v>91.228499999999983</v>
      </c>
      <c r="E241" s="8">
        <v>17.992990000000002</v>
      </c>
      <c r="F241" s="8">
        <v>151.17811499999996</v>
      </c>
      <c r="G241" s="8">
        <v>8480.4339169999985</v>
      </c>
    </row>
    <row r="242" spans="1:7" x14ac:dyDescent="0.2">
      <c r="A242" s="6" t="s">
        <v>248</v>
      </c>
      <c r="B242" s="7" t="s">
        <v>57</v>
      </c>
      <c r="C242" s="8">
        <v>9.3713820000000005</v>
      </c>
      <c r="D242" s="8">
        <v>84.586499999999987</v>
      </c>
      <c r="E242" s="8">
        <v>17.531223000000001</v>
      </c>
      <c r="F242" s="8">
        <v>151.84090499999996</v>
      </c>
      <c r="G242" s="8">
        <v>8316.4489450000001</v>
      </c>
    </row>
    <row r="243" spans="1:7" x14ac:dyDescent="0.2">
      <c r="A243" s="6" t="s">
        <v>248</v>
      </c>
      <c r="B243" s="7" t="s">
        <v>56</v>
      </c>
      <c r="C243" s="8">
        <v>9.5357040000000008</v>
      </c>
      <c r="D243" s="8">
        <v>83.371499999999997</v>
      </c>
      <c r="E243" s="8">
        <v>17.642683999999999</v>
      </c>
      <c r="F243" s="8">
        <v>148.23974599999997</v>
      </c>
      <c r="G243" s="8">
        <v>8084.1826279999996</v>
      </c>
    </row>
    <row r="244" spans="1:7" x14ac:dyDescent="0.2">
      <c r="A244" s="6" t="s">
        <v>248</v>
      </c>
      <c r="B244" s="7" t="s">
        <v>55</v>
      </c>
      <c r="C244" s="8">
        <v>9.5265750000000011</v>
      </c>
      <c r="D244" s="8">
        <v>88.565624999999983</v>
      </c>
      <c r="E244" s="8">
        <v>16.735073</v>
      </c>
      <c r="F244" s="8">
        <v>142.58393799999999</v>
      </c>
      <c r="G244" s="8">
        <v>7937.7704139999987</v>
      </c>
    </row>
    <row r="245" spans="1:7" x14ac:dyDescent="0.2">
      <c r="A245" s="6" t="s">
        <v>248</v>
      </c>
      <c r="B245" s="7" t="s">
        <v>54</v>
      </c>
      <c r="C245" s="8">
        <v>10.019541</v>
      </c>
      <c r="D245" s="8">
        <v>86.955749999999981</v>
      </c>
      <c r="E245" s="8">
        <v>18.645833000000003</v>
      </c>
      <c r="F245" s="8">
        <v>149.03509399999999</v>
      </c>
      <c r="G245" s="8">
        <v>8493.0819129999982</v>
      </c>
    </row>
    <row r="246" spans="1:7" x14ac:dyDescent="0.2">
      <c r="A246" s="6" t="s">
        <v>248</v>
      </c>
      <c r="B246" s="7" t="s">
        <v>52</v>
      </c>
      <c r="C246" s="8">
        <v>9.2161890000000017</v>
      </c>
      <c r="D246" s="8">
        <v>78.278624999999991</v>
      </c>
      <c r="E246" s="8">
        <v>18.566217999999999</v>
      </c>
      <c r="F246" s="8">
        <v>148.52695499999996</v>
      </c>
      <c r="G246" s="8">
        <v>8100.555061</v>
      </c>
    </row>
    <row r="247" spans="1:7" x14ac:dyDescent="0.2">
      <c r="A247" s="6" t="s">
        <v>248</v>
      </c>
      <c r="B247" s="7" t="s">
        <v>53</v>
      </c>
      <c r="C247" s="8">
        <v>10.558152000000002</v>
      </c>
      <c r="D247" s="8">
        <v>88.656749999999988</v>
      </c>
      <c r="E247" s="8">
        <v>15.684155000000001</v>
      </c>
      <c r="F247" s="8">
        <v>143.68858799999998</v>
      </c>
      <c r="G247" s="8">
        <v>7980.2687779999997</v>
      </c>
    </row>
    <row r="248" spans="1:7" x14ac:dyDescent="0.2">
      <c r="A248" s="6" t="s">
        <v>248</v>
      </c>
      <c r="B248" s="7" t="s">
        <v>51</v>
      </c>
      <c r="C248" s="8">
        <v>11.334117000000001</v>
      </c>
      <c r="D248" s="8">
        <v>79.706249999999997</v>
      </c>
      <c r="E248" s="8">
        <v>18.534372000000001</v>
      </c>
      <c r="F248" s="8">
        <v>149.21183799999997</v>
      </c>
      <c r="G248" s="8">
        <v>8234.2575479999978</v>
      </c>
    </row>
    <row r="249" spans="1:7" x14ac:dyDescent="0.2">
      <c r="A249" s="6" t="s">
        <v>248</v>
      </c>
      <c r="B249" s="7" t="s">
        <v>50</v>
      </c>
      <c r="C249" s="8">
        <v>9.6817680000000017</v>
      </c>
      <c r="D249" s="8">
        <v>83.847375</v>
      </c>
      <c r="E249" s="8">
        <v>16.655458000000003</v>
      </c>
      <c r="F249" s="8">
        <v>153.16648499999999</v>
      </c>
      <c r="G249" s="8">
        <v>8447.5312940000003</v>
      </c>
    </row>
    <row r="250" spans="1:7" x14ac:dyDescent="0.2">
      <c r="A250" s="6" t="s">
        <v>248</v>
      </c>
      <c r="B250" s="7" t="s">
        <v>49</v>
      </c>
      <c r="C250" s="8">
        <v>10.202121000000002</v>
      </c>
      <c r="D250" s="8">
        <v>87.968249999999983</v>
      </c>
      <c r="E250" s="8">
        <v>16.719149999999999</v>
      </c>
      <c r="F250" s="8">
        <v>151.61997499999998</v>
      </c>
      <c r="G250" s="8">
        <v>8322.7592249999998</v>
      </c>
    </row>
    <row r="251" spans="1:7" x14ac:dyDescent="0.2">
      <c r="A251" s="6" t="s">
        <v>248</v>
      </c>
      <c r="B251" s="7" t="s">
        <v>48</v>
      </c>
      <c r="C251" s="8">
        <v>9.5722200000000015</v>
      </c>
      <c r="D251" s="8">
        <v>91.562624999999983</v>
      </c>
      <c r="E251" s="8">
        <v>17.881529</v>
      </c>
      <c r="F251" s="8">
        <v>150.07346499999997</v>
      </c>
      <c r="G251" s="8">
        <v>8452.538364</v>
      </c>
    </row>
    <row r="252" spans="1:7" x14ac:dyDescent="0.2">
      <c r="A252" s="6" t="s">
        <v>248</v>
      </c>
      <c r="B252" s="7" t="s">
        <v>47</v>
      </c>
      <c r="C252" s="8">
        <v>11.854470000000003</v>
      </c>
      <c r="D252" s="8">
        <v>81.386999999999986</v>
      </c>
      <c r="E252" s="8">
        <v>18.629909999999999</v>
      </c>
      <c r="F252" s="8">
        <v>150.89090599999997</v>
      </c>
      <c r="G252" s="8">
        <v>8344.289625999998</v>
      </c>
    </row>
    <row r="253" spans="1:7" x14ac:dyDescent="0.2">
      <c r="A253" s="15" t="s">
        <v>284</v>
      </c>
      <c r="B253" s="20"/>
      <c r="C253" s="17">
        <f>AVERAGE(C235:C252)</f>
        <v>10.152418666666668</v>
      </c>
      <c r="D253" s="17">
        <f t="shared" ref="D253:G253" si="16">AVERAGE(D235:D252)</f>
        <v>85.620937499999997</v>
      </c>
      <c r="E253" s="17">
        <f t="shared" si="16"/>
        <v>17.554222888888891</v>
      </c>
      <c r="F253" s="17">
        <f t="shared" si="16"/>
        <v>148.97126977777779</v>
      </c>
      <c r="G253" s="17">
        <f t="shared" si="16"/>
        <v>8272.8009363888905</v>
      </c>
    </row>
  </sheetData>
  <sortState ref="A2:J252">
    <sortCondition ref="A2:A252"/>
    <sortCondition ref="B2:B252"/>
  </sortState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workbookViewId="0">
      <selection activeCell="O20" sqref="O20"/>
    </sheetView>
  </sheetViews>
  <sheetFormatPr defaultColWidth="8.875" defaultRowHeight="14.25" x14ac:dyDescent="0.2"/>
  <cols>
    <col min="1" max="1" width="27.875" bestFit="1" customWidth="1"/>
    <col min="2" max="2" width="11.25" bestFit="1" customWidth="1"/>
    <col min="3" max="3" width="3.125" bestFit="1" customWidth="1"/>
    <col min="4" max="4" width="1.875" bestFit="1" customWidth="1"/>
    <col min="5" max="7" width="2.875" bestFit="1" customWidth="1"/>
    <col min="8" max="8" width="1.875" bestFit="1" customWidth="1"/>
    <col min="9" max="9" width="3.875" bestFit="1" customWidth="1"/>
    <col min="10" max="10" width="2.875" bestFit="1" customWidth="1"/>
    <col min="11" max="12" width="4.875" bestFit="1" customWidth="1"/>
  </cols>
  <sheetData>
    <row r="1" spans="1:12" x14ac:dyDescent="0.2">
      <c r="A1" s="21" t="s">
        <v>253</v>
      </c>
      <c r="B1" s="22" t="s">
        <v>254</v>
      </c>
      <c r="C1" s="22" t="s">
        <v>255</v>
      </c>
      <c r="D1" s="22"/>
      <c r="E1" s="22" t="s">
        <v>256</v>
      </c>
      <c r="F1" s="22"/>
      <c r="G1" s="22" t="s">
        <v>257</v>
      </c>
      <c r="H1" s="22"/>
      <c r="I1" s="22" t="s">
        <v>258</v>
      </c>
      <c r="J1" s="22"/>
      <c r="K1" s="22" t="s">
        <v>259</v>
      </c>
      <c r="L1" s="22"/>
    </row>
    <row r="2" spans="1:12" x14ac:dyDescent="0.2">
      <c r="A2" s="21" t="s">
        <v>260</v>
      </c>
      <c r="B2" s="14" t="s">
        <v>261</v>
      </c>
      <c r="C2" s="14">
        <v>20</v>
      </c>
      <c r="D2" s="14">
        <v>1</v>
      </c>
      <c r="E2" s="14">
        <v>77</v>
      </c>
      <c r="F2" s="14">
        <v>1</v>
      </c>
      <c r="G2" s="14">
        <v>16</v>
      </c>
      <c r="H2" s="14">
        <v>1</v>
      </c>
      <c r="I2" s="14">
        <v>181</v>
      </c>
      <c r="J2" s="14">
        <v>2</v>
      </c>
      <c r="K2" s="14">
        <v>6040</v>
      </c>
      <c r="L2" s="14">
        <v>70</v>
      </c>
    </row>
    <row r="3" spans="1:12" x14ac:dyDescent="0.2">
      <c r="A3" s="21" t="s">
        <v>262</v>
      </c>
      <c r="B3" s="14" t="s">
        <v>263</v>
      </c>
      <c r="C3" s="14"/>
      <c r="D3" s="14"/>
      <c r="E3" s="14"/>
      <c r="F3" s="14"/>
      <c r="G3" s="14"/>
      <c r="H3" s="14"/>
      <c r="I3" s="14">
        <v>209</v>
      </c>
      <c r="J3" s="14">
        <v>10</v>
      </c>
      <c r="K3" s="14">
        <v>6110</v>
      </c>
      <c r="L3" s="14">
        <v>100</v>
      </c>
    </row>
    <row r="4" spans="1:12" x14ac:dyDescent="0.2">
      <c r="A4" s="21" t="s">
        <v>264</v>
      </c>
      <c r="B4" s="14" t="s">
        <v>265</v>
      </c>
      <c r="C4" s="14">
        <v>25</v>
      </c>
      <c r="D4" s="14"/>
      <c r="E4" s="14">
        <v>70</v>
      </c>
      <c r="F4" s="14"/>
      <c r="G4" s="14">
        <v>12</v>
      </c>
      <c r="H4" s="14"/>
      <c r="I4" s="14">
        <v>153</v>
      </c>
      <c r="J4" s="14"/>
      <c r="K4" s="14">
        <v>6650</v>
      </c>
      <c r="L4" s="14"/>
    </row>
    <row r="5" spans="1:12" x14ac:dyDescent="0.2">
      <c r="A5" s="21" t="s">
        <v>266</v>
      </c>
      <c r="B5" s="14" t="s">
        <v>263</v>
      </c>
      <c r="C5" s="14"/>
      <c r="D5" s="14"/>
      <c r="E5" s="14">
        <v>78</v>
      </c>
      <c r="F5" s="14">
        <v>1</v>
      </c>
      <c r="G5" s="14">
        <v>19</v>
      </c>
      <c r="H5" s="14">
        <v>3</v>
      </c>
      <c r="I5" s="14">
        <v>180</v>
      </c>
      <c r="J5" s="14">
        <v>3</v>
      </c>
      <c r="K5" s="14">
        <v>6800</v>
      </c>
      <c r="L5" s="14">
        <v>850</v>
      </c>
    </row>
    <row r="6" spans="1:12" x14ac:dyDescent="0.2">
      <c r="A6" s="21" t="s">
        <v>267</v>
      </c>
      <c r="B6" s="14" t="s">
        <v>265</v>
      </c>
      <c r="C6" s="14">
        <v>25</v>
      </c>
      <c r="D6" s="14">
        <v>1</v>
      </c>
      <c r="E6" s="14">
        <v>69</v>
      </c>
      <c r="F6" s="14">
        <v>1</v>
      </c>
      <c r="G6" s="14">
        <v>12</v>
      </c>
      <c r="H6" s="14">
        <v>1</v>
      </c>
      <c r="I6" s="14">
        <v>176</v>
      </c>
      <c r="J6" s="14">
        <v>20</v>
      </c>
      <c r="K6" s="14">
        <v>5760</v>
      </c>
      <c r="L6" s="14">
        <v>770</v>
      </c>
    </row>
    <row r="7" spans="1:12" x14ac:dyDescent="0.2">
      <c r="A7" s="21" t="s">
        <v>268</v>
      </c>
      <c r="B7" s="14" t="s">
        <v>269</v>
      </c>
      <c r="C7" s="14">
        <v>21</v>
      </c>
      <c r="D7" s="14">
        <v>3</v>
      </c>
      <c r="E7" s="14">
        <v>71</v>
      </c>
      <c r="F7" s="14">
        <v>9</v>
      </c>
      <c r="G7" s="14">
        <v>13</v>
      </c>
      <c r="H7" s="14">
        <v>1</v>
      </c>
      <c r="I7" s="14">
        <v>192</v>
      </c>
      <c r="J7" s="14">
        <v>18</v>
      </c>
      <c r="K7" s="14">
        <v>5120</v>
      </c>
      <c r="L7" s="14">
        <v>1230</v>
      </c>
    </row>
    <row r="8" spans="1:12" x14ac:dyDescent="0.2">
      <c r="A8" s="21" t="s">
        <v>270</v>
      </c>
      <c r="B8" s="14" t="s">
        <v>271</v>
      </c>
      <c r="C8" s="14">
        <v>24</v>
      </c>
      <c r="D8" s="14">
        <v>6</v>
      </c>
      <c r="E8" s="14">
        <v>83</v>
      </c>
      <c r="F8" s="14">
        <v>6</v>
      </c>
      <c r="G8" s="14">
        <v>24</v>
      </c>
      <c r="H8" s="14">
        <v>4</v>
      </c>
      <c r="I8" s="14">
        <v>204</v>
      </c>
      <c r="J8" s="14">
        <v>16</v>
      </c>
      <c r="K8" s="14">
        <v>9000</v>
      </c>
      <c r="L8" s="14">
        <v>800</v>
      </c>
    </row>
    <row r="9" spans="1:12" x14ac:dyDescent="0.2">
      <c r="A9" s="21" t="s">
        <v>272</v>
      </c>
      <c r="B9" s="14" t="s">
        <v>271</v>
      </c>
      <c r="C9" s="14"/>
      <c r="D9" s="14"/>
      <c r="E9" s="14">
        <v>71</v>
      </c>
      <c r="F9" s="14">
        <v>3</v>
      </c>
      <c r="G9" s="14">
        <v>9</v>
      </c>
      <c r="H9" s="14">
        <v>2</v>
      </c>
      <c r="I9" s="14">
        <v>184</v>
      </c>
      <c r="J9" s="14">
        <v>6</v>
      </c>
      <c r="K9" s="14">
        <v>4800</v>
      </c>
      <c r="L9" s="14">
        <v>140</v>
      </c>
    </row>
    <row r="10" spans="1:12" x14ac:dyDescent="0.2">
      <c r="A10" s="21" t="s">
        <v>273</v>
      </c>
      <c r="B10" s="14" t="s">
        <v>271</v>
      </c>
      <c r="C10" s="14">
        <v>20</v>
      </c>
      <c r="D10" s="14"/>
      <c r="E10" s="14">
        <v>83</v>
      </c>
      <c r="F10" s="14"/>
      <c r="G10" s="14">
        <v>12</v>
      </c>
      <c r="H10" s="14"/>
      <c r="I10" s="14">
        <v>180</v>
      </c>
      <c r="J10" s="14"/>
      <c r="K10" s="14">
        <v>5870</v>
      </c>
      <c r="L10" s="14"/>
    </row>
    <row r="11" spans="1:12" x14ac:dyDescent="0.2">
      <c r="A11" s="21" t="s">
        <v>274</v>
      </c>
      <c r="B11" s="14" t="s">
        <v>263</v>
      </c>
      <c r="C11" s="14"/>
      <c r="D11" s="14"/>
      <c r="E11" s="14">
        <v>73</v>
      </c>
      <c r="F11" s="14"/>
      <c r="G11" s="14"/>
      <c r="H11" s="14"/>
      <c r="I11" s="14">
        <v>184</v>
      </c>
      <c r="J11" s="14"/>
      <c r="K11" s="14">
        <v>5642</v>
      </c>
      <c r="L11" s="14"/>
    </row>
    <row r="12" spans="1:12" x14ac:dyDescent="0.2">
      <c r="A12" s="21" t="s">
        <v>274</v>
      </c>
      <c r="B12" s="14" t="s">
        <v>275</v>
      </c>
      <c r="C12" s="14"/>
      <c r="D12" s="14"/>
      <c r="E12" s="14">
        <v>50</v>
      </c>
      <c r="F12" s="14">
        <v>17</v>
      </c>
      <c r="G12" s="14"/>
      <c r="H12" s="14"/>
      <c r="I12" s="14"/>
      <c r="J12" s="14"/>
      <c r="K12" s="14">
        <v>4370</v>
      </c>
      <c r="L12" s="14">
        <v>330</v>
      </c>
    </row>
    <row r="13" spans="1:12" x14ac:dyDescent="0.2">
      <c r="A13" s="21" t="s">
        <v>276</v>
      </c>
      <c r="B13" s="14" t="s">
        <v>277</v>
      </c>
      <c r="C13" s="14">
        <v>22</v>
      </c>
      <c r="D13" s="14">
        <v>2</v>
      </c>
      <c r="E13" s="14">
        <v>70</v>
      </c>
      <c r="F13" s="14">
        <v>1</v>
      </c>
      <c r="G13" s="14">
        <v>10</v>
      </c>
      <c r="H13" s="14">
        <v>1</v>
      </c>
      <c r="I13" s="14">
        <v>179</v>
      </c>
      <c r="J13" s="14">
        <v>5</v>
      </c>
      <c r="K13" s="14"/>
      <c r="L13" s="14"/>
    </row>
    <row r="14" spans="1:12" x14ac:dyDescent="0.2">
      <c r="A14" s="21" t="s">
        <v>274</v>
      </c>
      <c r="B14" s="14" t="s">
        <v>278</v>
      </c>
      <c r="C14" s="14">
        <v>32</v>
      </c>
      <c r="D14" s="14">
        <v>6</v>
      </c>
      <c r="E14" s="14">
        <v>73</v>
      </c>
      <c r="F14" s="14">
        <v>9</v>
      </c>
      <c r="G14" s="14">
        <v>13</v>
      </c>
      <c r="H14" s="14">
        <v>3</v>
      </c>
      <c r="I14" s="14">
        <v>183</v>
      </c>
      <c r="J14" s="14">
        <v>18</v>
      </c>
      <c r="K14" s="14">
        <v>4600</v>
      </c>
      <c r="L14" s="14">
        <v>170</v>
      </c>
    </row>
    <row r="15" spans="1:12" x14ac:dyDescent="0.2">
      <c r="A15" s="21" t="s">
        <v>274</v>
      </c>
      <c r="B15" s="14" t="s">
        <v>279</v>
      </c>
      <c r="C15" s="14"/>
      <c r="D15" s="14"/>
      <c r="E15" s="14"/>
      <c r="F15" s="14"/>
      <c r="G15" s="14"/>
      <c r="H15" s="14"/>
      <c r="I15" s="14"/>
      <c r="J15" s="14"/>
      <c r="K15" s="14">
        <v>4890</v>
      </c>
      <c r="L15" s="14">
        <v>325</v>
      </c>
    </row>
    <row r="16" spans="1:12" x14ac:dyDescent="0.2">
      <c r="A16" s="21" t="s">
        <v>280</v>
      </c>
      <c r="B16" s="14" t="s">
        <v>269</v>
      </c>
      <c r="C16" s="14">
        <v>25</v>
      </c>
      <c r="D16" s="14">
        <v>1</v>
      </c>
      <c r="E16" s="14">
        <v>70</v>
      </c>
      <c r="F16" s="14">
        <v>5</v>
      </c>
      <c r="G16" s="14">
        <v>9</v>
      </c>
      <c r="H16" s="14">
        <v>1</v>
      </c>
      <c r="I16" s="14">
        <v>188</v>
      </c>
      <c r="J16" s="14">
        <v>6</v>
      </c>
      <c r="K16" s="14">
        <v>5600</v>
      </c>
      <c r="L16" s="14">
        <v>500</v>
      </c>
    </row>
    <row r="17" spans="1:12" x14ac:dyDescent="0.2">
      <c r="A17" s="21" t="s">
        <v>281</v>
      </c>
      <c r="B17" s="14"/>
      <c r="C17" s="14">
        <v>24</v>
      </c>
      <c r="D17" s="14">
        <v>4</v>
      </c>
      <c r="E17" s="14">
        <v>72</v>
      </c>
      <c r="F17" s="14">
        <v>8</v>
      </c>
      <c r="G17" s="14">
        <v>14</v>
      </c>
      <c r="H17" s="14">
        <v>5</v>
      </c>
      <c r="I17" s="14">
        <v>184</v>
      </c>
      <c r="J17" s="14">
        <v>14</v>
      </c>
      <c r="K17" s="14">
        <v>5804</v>
      </c>
      <c r="L17" s="14">
        <v>1175</v>
      </c>
    </row>
    <row r="18" spans="1:12" x14ac:dyDescent="0.2">
      <c r="A18" s="21" t="s">
        <v>282</v>
      </c>
      <c r="B18" s="14" t="s">
        <v>283</v>
      </c>
      <c r="C18" s="14">
        <v>20</v>
      </c>
      <c r="D18" s="14">
        <v>1</v>
      </c>
      <c r="E18" s="14">
        <v>64</v>
      </c>
      <c r="F18" s="14">
        <v>4</v>
      </c>
      <c r="G18" s="14">
        <v>14</v>
      </c>
      <c r="H18" s="14">
        <v>2</v>
      </c>
      <c r="I18" s="14">
        <v>190</v>
      </c>
      <c r="J18" s="14">
        <v>3</v>
      </c>
      <c r="K18" s="14">
        <v>5700</v>
      </c>
      <c r="L18" s="1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MAIN</vt:lpstr>
      <vt:lpstr>Frahm and Hauck 2017-Gollu Dag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SHULA</cp:lastModifiedBy>
  <dcterms:modified xsi:type="dcterms:W3CDTF">2018-08-16T10:24:51Z</dcterms:modified>
</cp:coreProperties>
</file>